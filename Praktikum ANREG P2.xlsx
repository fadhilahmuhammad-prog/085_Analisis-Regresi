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33f8e92b3ed1e6/문서/DAFFA/IPB/STK/ANREG/"/>
    </mc:Choice>
  </mc:AlternateContent>
  <xr:revisionPtr revIDLastSave="54" documentId="13_ncr:1_{AF058B0A-BF1A-4ABD-8FB3-A273369F6313}" xr6:coauthVersionLast="47" xr6:coauthVersionMax="47" xr10:uidLastSave="{1426970F-981A-475E-927A-E81D822AE756}"/>
  <bookViews>
    <workbookView xWindow="-110" yWindow="-110" windowWidth="19420" windowHeight="1030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6" l="1"/>
  <c r="R8" i="6"/>
  <c r="R5" i="6"/>
  <c r="Q5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2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3" i="6"/>
  <c r="L2" i="6"/>
  <c r="R2" i="6"/>
  <c r="Q2" i="6"/>
</calcChain>
</file>

<file path=xl/sharedStrings.xml><?xml version="1.0" encoding="utf-8"?>
<sst xmlns="http://schemas.openxmlformats.org/spreadsheetml/2006/main" count="2286" uniqueCount="1717">
  <si>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</si>
  <si>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</si>
  <si>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</si>
  <si>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</si>
  <si>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</si>
  <si>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</si>
  <si>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</si>
  <si>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</si>
  <si>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</si>
  <si>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</si>
  <si>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</si>
  <si>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</si>
  <si>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</si>
  <si>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</si>
  <si>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</si>
  <si>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</si>
  <si>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</si>
  <si>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</si>
  <si>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</si>
  <si>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</si>
  <si>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</si>
  <si>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</si>
  <si>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</si>
  <si>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</si>
  <si>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</si>
  <si>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</si>
  <si>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</si>
  <si>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</si>
  <si>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</si>
  <si>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</si>
  <si>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</si>
  <si>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</si>
  <si>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</si>
  <si>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</si>
  <si>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</si>
  <si>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</si>
  <si>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</si>
  <si>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</si>
  <si>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</si>
  <si>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</si>
  <si>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</si>
  <si>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</si>
  <si>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</si>
  <si>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</si>
  <si>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</si>
  <si>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</si>
  <si>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</si>
  <si>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</si>
  <si>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</si>
  <si>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</si>
  <si>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</si>
  <si>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</si>
  <si>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</si>
  <si>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</si>
  <si>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</si>
  <si>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</si>
  <si>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</si>
  <si>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</si>
  <si>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</si>
  <si>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</si>
  <si>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</si>
  <si>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</si>
  <si>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</si>
  <si>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</si>
  <si>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</si>
  <si>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</si>
  <si>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</si>
  <si>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</si>
  <si>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</si>
  <si>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</si>
  <si>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</si>
  <si>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</si>
  <si>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</si>
  <si>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</si>
  <si>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</si>
  <si>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</si>
  <si>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</si>
  <si>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</si>
  <si>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</si>
  <si>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</si>
  <si>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</si>
  <si>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</si>
  <si>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</si>
  <si>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</si>
  <si>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</si>
  <si>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</si>
  <si>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</si>
  <si>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</si>
  <si>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</si>
  <si>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</si>
  <si>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</si>
  <si>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</si>
  <si>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</si>
  <si>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</si>
  <si>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</si>
  <si>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</si>
  <si>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</si>
  <si>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</si>
  <si>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</si>
  <si>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</si>
  <si>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</si>
  <si>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</si>
  <si>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</si>
  <si>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</si>
  <si>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</si>
  <si>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</si>
  <si>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</si>
  <si>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</si>
  <si>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</si>
  <si>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</si>
  <si>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</si>
  <si>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</si>
  <si>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</si>
  <si>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</si>
  <si>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</si>
  <si>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</si>
  <si>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</si>
  <si>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</si>
  <si>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</si>
  <si>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</si>
  <si>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</si>
  <si>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</si>
  <si>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</si>
  <si>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</si>
  <si>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</si>
  <si>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</si>
  <si>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</si>
  <si>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</si>
  <si>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</si>
  <si>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</si>
  <si>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</si>
  <si>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</si>
  <si>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</si>
  <si>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</si>
  <si>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</si>
  <si>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</si>
  <si>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</si>
  <si>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</si>
  <si>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</si>
  <si>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</si>
  <si>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</si>
  <si>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</si>
  <si>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</si>
  <si>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</si>
  <si>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</si>
  <si>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</si>
  <si>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</si>
  <si>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</si>
  <si>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</si>
  <si>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</si>
  <si>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</si>
  <si>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</si>
  <si>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</si>
  <si>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</si>
  <si>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</si>
  <si>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</si>
  <si>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</si>
  <si>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</si>
  <si>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</si>
  <si>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</si>
  <si>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</si>
  <si>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</si>
  <si>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</si>
  <si>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</si>
  <si>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</si>
  <si>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</si>
  <si>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</si>
  <si>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</si>
  <si>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</si>
  <si>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</si>
  <si>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</si>
  <si>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</si>
  <si>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</si>
  <si>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</si>
  <si>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</si>
  <si>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</si>
  <si>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</si>
  <si>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</si>
  <si>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</si>
  <si>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</si>
  <si>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</si>
  <si>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</si>
  <si>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</si>
  <si>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</si>
  <si>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</si>
  <si>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</si>
  <si>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</si>
  <si>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</si>
  <si>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</si>
  <si>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</si>
  <si>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</si>
  <si>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</si>
  <si>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</si>
  <si>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</si>
  <si>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</si>
  <si>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</si>
  <si>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</si>
  <si>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</si>
  <si>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</si>
  <si>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</si>
  <si>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</si>
  <si>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</si>
  <si>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</si>
  <si>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</si>
  <si>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</si>
  <si>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</si>
  <si>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</si>
  <si>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</si>
  <si>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</si>
  <si>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</si>
  <si>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</si>
  <si>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</si>
  <si>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</si>
  <si>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</si>
  <si>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</si>
  <si>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</si>
  <si>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</si>
  <si>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</si>
  <si>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</si>
  <si>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</si>
  <si>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</si>
  <si>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</si>
  <si>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</si>
  <si>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</si>
  <si>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</si>
  <si>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</si>
  <si>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</si>
  <si>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</si>
  <si>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</si>
  <si>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</si>
  <si>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</si>
  <si>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</si>
  <si>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</si>
  <si>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</si>
  <si>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</si>
  <si>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</si>
  <si>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</si>
  <si>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</si>
  <si>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</si>
  <si>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</si>
  <si>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</si>
  <si>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</si>
  <si>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</si>
  <si>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</si>
  <si>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</si>
  <si>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</si>
  <si>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</si>
  <si>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</si>
  <si>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</si>
  <si>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</si>
  <si>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</si>
  <si>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</si>
  <si>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</si>
  <si>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</si>
  <si>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</si>
  <si>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</si>
  <si>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</si>
  <si>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</si>
  <si>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</si>
  <si>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</si>
  <si>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</si>
  <si>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</si>
  <si>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</si>
  <si>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</si>
  <si>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</si>
  <si>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</si>
  <si>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</si>
  <si>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</si>
  <si>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</si>
  <si>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</si>
  <si>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</si>
  <si>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</si>
  <si>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</si>
  <si>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</si>
  <si>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</si>
  <si>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</si>
  <si>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</si>
  <si>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</si>
  <si>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</si>
  <si>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</si>
  <si>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</si>
  <si>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</si>
  <si>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</si>
  <si>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</si>
  <si>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</si>
  <si>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</si>
  <si>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</si>
  <si>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</si>
  <si>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</si>
  <si>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</si>
  <si>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</si>
  <si>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</si>
  <si>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</si>
  <si>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</si>
  <si>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</si>
  <si>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</si>
  <si>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</si>
  <si>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</si>
  <si>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</si>
  <si>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</si>
  <si>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</si>
  <si>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</si>
  <si>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</si>
  <si>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</si>
  <si>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</si>
  <si>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</si>
  <si>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</si>
  <si>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</si>
  <si>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</si>
  <si>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</si>
  <si>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</si>
  <si>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</si>
  <si>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</si>
  <si>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</si>
  <si>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</si>
  <si>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</si>
  <si>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</si>
  <si>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</si>
  <si>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</si>
  <si>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</si>
  <si>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</si>
  <si>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</si>
  <si>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</si>
  <si>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</si>
  <si>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</si>
  <si>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</si>
  <si>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</si>
  <si>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</si>
  <si>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</si>
  <si>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</si>
  <si>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</si>
  <si>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</si>
  <si>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</si>
  <si>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</si>
  <si>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</si>
  <si>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</si>
  <si>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</si>
  <si>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</si>
  <si>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</si>
  <si>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</si>
  <si>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</si>
  <si>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</si>
  <si>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</si>
  <si>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</si>
  <si>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</si>
  <si>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</si>
  <si>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</si>
  <si>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</si>
  <si>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</si>
  <si>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</si>
  <si>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</si>
  <si>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</si>
  <si>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</si>
  <si>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</si>
  <si>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</si>
  <si>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</si>
  <si>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</si>
  <si>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</si>
  <si>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</si>
  <si>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</si>
  <si>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</si>
  <si>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</si>
  <si>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</si>
  <si>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</si>
  <si>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</si>
  <si>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</si>
  <si>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</si>
  <si>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</si>
  <si>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</si>
  <si>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</si>
  <si>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</si>
  <si>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</si>
  <si>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</si>
  <si>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</si>
  <si>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</si>
  <si>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</si>
  <si>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</si>
  <si>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</si>
  <si>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</si>
  <si>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</si>
  <si>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</si>
  <si>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</si>
  <si>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</si>
  <si>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</si>
  <si>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</si>
  <si>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</si>
  <si>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</si>
  <si>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</si>
  <si>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</si>
  <si>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</si>
  <si>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</si>
  <si>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</si>
  <si>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</si>
  <si>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</si>
  <si>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</si>
  <si>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</si>
  <si>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</si>
  <si>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</si>
  <si>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</si>
  <si>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</si>
  <si>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</si>
  <si>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</si>
  <si>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</si>
  <si>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</si>
  <si>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</si>
  <si>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</si>
  <si>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</si>
  <si>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</si>
  <si>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</si>
  <si>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</si>
  <si>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</si>
  <si>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</si>
  <si>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</si>
  <si>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</si>
  <si>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</si>
  <si>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</si>
  <si>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</si>
  <si>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</si>
  <si>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</si>
  <si>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</si>
  <si>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</si>
  <si>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</si>
  <si>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</si>
  <si>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</si>
  <si>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</si>
  <si>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</si>
  <si>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</si>
  <si>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</si>
  <si>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</si>
  <si>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</si>
  <si>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</si>
  <si>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</si>
  <si>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</si>
  <si>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</si>
  <si>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</si>
  <si>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</si>
  <si>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</si>
  <si>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</si>
  <si>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</si>
  <si>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</si>
  <si>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</si>
  <si>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</si>
  <si>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</si>
  <si>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</si>
  <si>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</si>
  <si>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</si>
  <si>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</si>
  <si>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</si>
  <si>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</si>
  <si>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</si>
  <si>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</si>
  <si>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</si>
  <si>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</si>
  <si>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</si>
  <si>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</si>
  <si>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</si>
  <si>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</si>
  <si>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</si>
  <si>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</si>
  <si>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</si>
  <si>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</si>
  <si>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</si>
  <si>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</si>
  <si>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</si>
  <si>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</si>
  <si>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</si>
  <si>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</si>
  <si>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</si>
  <si>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</si>
  <si>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</si>
  <si>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</si>
  <si>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</si>
  <si>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</si>
  <si>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</si>
  <si>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</si>
  <si>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</si>
  <si>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</si>
  <si>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</si>
  <si>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</si>
  <si>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</si>
  <si>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</si>
  <si>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</si>
  <si>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</si>
  <si>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</si>
  <si>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</si>
  <si>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</si>
  <si>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</si>
  <si>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</si>
  <si>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</si>
  <si>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</si>
  <si>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</si>
  <si>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</si>
  <si>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</si>
  <si>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</si>
  <si>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</si>
  <si>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</si>
  <si>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</si>
  <si>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</si>
  <si>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</si>
  <si>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</si>
  <si>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</si>
  <si>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</si>
  <si>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</si>
  <si>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</si>
  <si>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</si>
  <si>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</si>
  <si>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</si>
  <si>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</si>
  <si>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</si>
  <si>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</si>
  <si>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</si>
  <si>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</si>
  <si>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</si>
  <si>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</si>
  <si>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</si>
  <si>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</si>
  <si>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</si>
  <si>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</si>
  <si>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</si>
  <si>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</si>
  <si>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</si>
  <si>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</si>
  <si>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</si>
  <si>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</si>
  <si>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</si>
  <si>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</si>
  <si>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</si>
  <si>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</si>
  <si>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</si>
  <si>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</si>
  <si>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</si>
  <si>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</si>
  <si>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</si>
  <si>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</si>
  <si>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</si>
  <si>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</si>
  <si>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</si>
  <si>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</si>
  <si>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</si>
  <si>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</si>
  <si>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</si>
  <si>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</si>
  <si>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</si>
  <si>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</si>
  <si>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</si>
  <si>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</si>
  <si>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</si>
  <si>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</si>
  <si>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</si>
  <si>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</si>
  <si>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</si>
  <si>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</si>
  <si>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</si>
  <si>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</si>
  <si>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</si>
  <si>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</si>
  <si>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</si>
  <si>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</si>
  <si>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</si>
  <si>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</si>
  <si>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</si>
  <si>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</si>
  <si>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</si>
  <si>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</si>
  <si>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</si>
  <si>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</si>
  <si>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</si>
  <si>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</si>
  <si>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</si>
  <si>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</si>
  <si>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</si>
  <si>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</si>
  <si>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</si>
  <si>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</si>
  <si>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</si>
  <si>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</si>
  <si>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</si>
  <si>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</si>
  <si>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</si>
  <si>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</si>
  <si>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</si>
  <si>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</si>
  <si>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</si>
  <si>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</si>
  <si>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</si>
  <si>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</si>
  <si>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</si>
  <si>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</si>
  <si>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</si>
  <si>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</si>
  <si>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</si>
  <si>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</si>
  <si>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</si>
  <si>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</si>
  <si>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</si>
  <si>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</si>
  <si>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</si>
  <si>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</si>
  <si>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</si>
  <si>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</si>
  <si>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</si>
  <si>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</si>
  <si>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</si>
  <si>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</si>
  <si>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</si>
  <si>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</si>
  <si>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</si>
  <si>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</si>
  <si>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</si>
  <si>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</si>
  <si>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</si>
  <si>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</si>
  <si>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</si>
  <si>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</si>
  <si>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</si>
  <si>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</si>
  <si>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</si>
  <si>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</si>
  <si>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</si>
  <si>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</si>
  <si>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</si>
  <si>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</si>
  <si>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</si>
  <si>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</si>
  <si>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</si>
  <si>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</si>
  <si>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</si>
  <si>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</si>
  <si>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</si>
  <si>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</si>
  <si>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</si>
  <si>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</si>
  <si>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</si>
  <si>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</si>
  <si>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</si>
  <si>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</si>
  <si>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</si>
  <si>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</si>
  <si>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</si>
  <si>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</si>
  <si>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</si>
  <si>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</si>
  <si>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</si>
  <si>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</si>
  <si>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</si>
  <si>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</si>
  <si>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</si>
  <si>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</si>
  <si>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</si>
  <si>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</si>
  <si>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</si>
  <si>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</si>
  <si>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</si>
  <si>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</si>
  <si>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</si>
  <si>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</si>
  <si>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</si>
  <si>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</si>
  <si>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</si>
  <si>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</si>
  <si>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</si>
  <si>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</si>
  <si>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</si>
  <si>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</si>
  <si>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</si>
  <si>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</si>
  <si>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</si>
  <si>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</si>
  <si>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</si>
  <si>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</si>
  <si>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</si>
  <si>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</si>
  <si>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</si>
  <si>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</si>
  <si>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</si>
  <si>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</si>
  <si>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</si>
  <si>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</si>
  <si>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</si>
  <si>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</si>
  <si>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</si>
  <si>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</si>
  <si>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</si>
  <si>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</si>
  <si>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</si>
  <si>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</si>
  <si>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</si>
  <si>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</si>
  <si>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</si>
  <si>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</si>
  <si>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</si>
  <si>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</si>
  <si>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</si>
  <si>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</si>
  <si>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</si>
  <si>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</si>
  <si>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</si>
  <si>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</si>
  <si>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</si>
  <si>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</si>
  <si>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</si>
  <si>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</si>
  <si>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</si>
  <si>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</si>
  <si>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</si>
  <si>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</si>
  <si>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</si>
  <si>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</si>
  <si>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</si>
  <si>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</si>
  <si>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</si>
  <si>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</si>
  <si>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</si>
  <si>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</si>
  <si>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</si>
  <si>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</si>
  <si>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</si>
  <si>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</si>
  <si>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</si>
  <si>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</si>
  <si>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</si>
  <si>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</si>
  <si>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</si>
  <si>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</si>
  <si>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</si>
  <si>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</si>
  <si>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</si>
  <si>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</si>
  <si>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</si>
  <si>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</si>
  <si>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</si>
  <si>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</si>
  <si>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</si>
  <si>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</si>
  <si>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</si>
  <si>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</si>
  <si>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</si>
  <si>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</si>
  <si>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</si>
  <si>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</si>
  <si>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</si>
  <si>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</si>
  <si>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</si>
  <si>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</si>
  <si>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</si>
  <si>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</si>
  <si>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</si>
  <si>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</si>
  <si>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</si>
  <si>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</si>
  <si>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</si>
  <si>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</si>
  <si>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</si>
  <si>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</si>
  <si>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</si>
  <si>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</si>
  <si>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</si>
  <si>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</si>
  <si>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</si>
  <si>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</si>
  <si>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</si>
  <si>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</si>
  <si>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</si>
  <si>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</si>
  <si>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</si>
  <si>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</si>
  <si>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</si>
  <si>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</si>
  <si>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</si>
  <si>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</si>
  <si>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</si>
  <si>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</si>
  <si>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</si>
  <si>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</si>
  <si>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</si>
  <si>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</si>
  <si>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</si>
  <si>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</si>
  <si>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</si>
  <si>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</si>
  <si>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</si>
  <si>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</si>
  <si>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</si>
  <si>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</si>
  <si>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</si>
  <si>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</si>
  <si>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</si>
  <si>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</si>
  <si>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</si>
  <si>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</si>
  <si>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</si>
  <si>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</si>
  <si>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</si>
  <si>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</si>
  <si>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</si>
  <si>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</si>
  <si>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</si>
  <si>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</si>
  <si>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</si>
  <si>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</si>
  <si>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</si>
  <si>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</si>
  <si>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</si>
  <si>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</si>
  <si>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</si>
  <si>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</si>
  <si>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</si>
  <si>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</si>
  <si>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</si>
  <si>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</si>
  <si>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</si>
  <si>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</si>
  <si>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</si>
  <si>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</si>
  <si>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</si>
  <si>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</si>
  <si>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</si>
  <si>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</si>
  <si>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</si>
  <si>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</si>
  <si>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</si>
  <si>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</si>
  <si>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</si>
  <si>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</si>
  <si>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</si>
  <si>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</si>
  <si>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</si>
  <si>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</si>
  <si>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</si>
  <si>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</si>
  <si>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</si>
  <si>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</si>
  <si>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</si>
  <si>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</si>
  <si>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</si>
  <si>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</si>
  <si>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</si>
  <si>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</si>
  <si>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</si>
  <si>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</si>
  <si>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</si>
  <si>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</si>
  <si>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</si>
  <si>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</si>
  <si>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</si>
  <si>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</si>
  <si>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</si>
  <si>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</si>
  <si>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</si>
  <si>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</si>
  <si>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</si>
  <si>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</si>
  <si>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</si>
  <si>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</si>
  <si>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</si>
  <si>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</si>
  <si>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</si>
  <si>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</si>
  <si>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</si>
  <si>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</si>
  <si>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</si>
  <si>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</si>
  <si>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</si>
  <si>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</si>
  <si>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</si>
  <si>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</si>
  <si>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</si>
  <si>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</si>
  <si>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</si>
  <si>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</si>
  <si>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</si>
  <si>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</si>
  <si>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</si>
  <si>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</si>
  <si>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</si>
  <si>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</si>
  <si>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</si>
  <si>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</si>
  <si>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</si>
  <si>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</si>
  <si>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</si>
  <si>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</si>
  <si>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</si>
  <si>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</si>
  <si>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</si>
  <si>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</si>
  <si>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</si>
  <si>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</si>
  <si>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</si>
  <si>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</si>
  <si>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</si>
  <si>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</si>
  <si>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</si>
  <si>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</si>
  <si>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</si>
  <si>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</si>
  <si>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</si>
  <si>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</si>
  <si>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</si>
  <si>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</si>
  <si>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</si>
  <si>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</si>
  <si>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</si>
  <si>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</si>
  <si>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</si>
  <si>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</si>
  <si>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</si>
  <si>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</si>
  <si>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</si>
  <si>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</si>
  <si>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</si>
  <si>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</si>
  <si>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</si>
  <si>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</si>
  <si>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</si>
  <si>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</si>
  <si>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</si>
  <si>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</si>
  <si>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</si>
  <si>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</si>
  <si>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</si>
  <si>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</si>
  <si>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</si>
  <si>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</si>
  <si>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</si>
  <si>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</si>
  <si>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</si>
  <si>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</si>
  <si>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</si>
  <si>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</si>
  <si>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</si>
  <si>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</si>
  <si>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</si>
  <si>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</si>
  <si>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</si>
  <si>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</si>
  <si>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</si>
  <si>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</si>
  <si>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</si>
  <si>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</si>
  <si>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</si>
  <si>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</si>
  <si>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</si>
  <si>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</si>
  <si>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</si>
  <si>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</si>
  <si>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</si>
  <si>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</si>
  <si>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</si>
  <si>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</si>
  <si>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</si>
  <si>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</si>
  <si>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</si>
  <si>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</si>
  <si>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</si>
  <si>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</si>
  <si>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</si>
  <si>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</si>
  <si>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</si>
  <si>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</si>
  <si>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</si>
  <si>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</si>
  <si>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</si>
  <si>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</si>
  <si>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</si>
  <si>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</si>
  <si>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</si>
  <si>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</si>
  <si>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</si>
  <si>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</si>
  <si>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</si>
  <si>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</si>
  <si>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</si>
  <si>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</si>
  <si>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</si>
  <si>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</si>
  <si>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</si>
  <si>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</si>
  <si>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</si>
  <si>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</si>
  <si>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</si>
  <si>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</si>
  <si>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</si>
  <si>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</si>
  <si>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</si>
  <si>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</si>
  <si>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</si>
  <si>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</si>
  <si>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</si>
  <si>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</si>
  <si>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</si>
  <si>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</si>
  <si>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</si>
  <si>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</si>
  <si>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</si>
  <si>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</si>
  <si>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</si>
  <si>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</si>
  <si>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</si>
  <si>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</si>
  <si>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</si>
  <si>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</si>
  <si>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</si>
  <si>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</si>
  <si>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</si>
  <si>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</si>
  <si>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</si>
  <si>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</si>
  <si>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</si>
  <si>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</si>
  <si>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</si>
  <si>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</si>
  <si>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</si>
  <si>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</si>
  <si>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</si>
  <si>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</si>
  <si>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</si>
  <si>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</si>
  <si>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</si>
  <si>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</si>
  <si>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</si>
  <si>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</si>
  <si>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</si>
  <si>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</si>
  <si>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</si>
  <si>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</si>
  <si>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</si>
  <si>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</si>
  <si>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</si>
  <si>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</si>
  <si>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</si>
  <si>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</si>
  <si>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</si>
  <si>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</si>
  <si>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</si>
  <si>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</si>
  <si>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</si>
  <si>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</si>
  <si>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</si>
  <si>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</si>
  <si>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</si>
  <si>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</si>
  <si>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</si>
  <si>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</si>
  <si>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</si>
  <si>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</si>
  <si>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</si>
  <si>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</si>
  <si>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</si>
  <si>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</si>
  <si>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</si>
  <si>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</si>
  <si>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</si>
  <si>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</si>
  <si>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</si>
  <si>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</si>
  <si>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</si>
  <si>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</si>
  <si>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</si>
  <si>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</si>
  <si>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</si>
  <si>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</si>
  <si>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</si>
  <si>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</si>
  <si>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</si>
  <si>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</si>
  <si>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</si>
  <si>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</si>
  <si>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</si>
  <si>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</si>
  <si>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</si>
  <si>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</si>
  <si>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</si>
  <si>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</si>
  <si>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</si>
  <si>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</si>
  <si>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</si>
  <si>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</si>
  <si>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</si>
  <si>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</si>
  <si>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</si>
  <si>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</si>
  <si>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</si>
  <si>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</si>
  <si>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</si>
  <si>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</si>
  <si>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</si>
  <si>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</si>
  <si>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</si>
  <si>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</si>
  <si>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</si>
  <si>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</si>
  <si>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</si>
  <si>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</si>
  <si>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</si>
  <si>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</si>
  <si>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</si>
  <si>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</si>
  <si>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</si>
  <si>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</si>
  <si>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</si>
  <si>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</si>
  <si>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</si>
  <si>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</si>
  <si>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</si>
  <si>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</si>
  <si>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</si>
  <si>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</si>
  <si>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</si>
  <si>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</si>
  <si>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</si>
  <si>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</si>
  <si>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</si>
  <si>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</si>
  <si>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</si>
  <si>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</si>
  <si>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</si>
  <si>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</si>
  <si>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</si>
  <si>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</si>
  <si>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</si>
  <si>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</si>
  <si>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</si>
  <si>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</si>
  <si>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</si>
  <si>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</si>
  <si>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</si>
  <si>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</si>
  <si>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</si>
  <si>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</si>
  <si>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</si>
  <si>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</si>
  <si>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</si>
  <si>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</si>
  <si>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</si>
  <si>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</si>
  <si>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</si>
  <si>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</si>
  <si>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</si>
  <si>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</si>
  <si>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</si>
  <si>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</si>
  <si>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</si>
  <si>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</si>
  <si>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</si>
  <si>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</si>
  <si>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</si>
  <si>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</si>
  <si>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</si>
  <si>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</si>
  <si>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</si>
  <si>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</si>
  <si>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</si>
  <si>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</si>
  <si>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</si>
  <si>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</si>
  <si>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</si>
  <si>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</si>
  <si>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</si>
  <si>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</si>
  <si>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</si>
  <si>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</si>
  <si>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</si>
  <si>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</si>
  <si>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</si>
  <si>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</si>
  <si>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</si>
  <si>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</si>
  <si>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</si>
  <si>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</si>
  <si>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</si>
  <si>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</si>
  <si>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</si>
  <si>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</si>
  <si>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</si>
  <si>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</si>
  <si>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</si>
  <si>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</si>
  <si>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</si>
  <si>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</si>
  <si>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</si>
  <si>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</si>
  <si>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</si>
  <si>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</si>
  <si>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</si>
  <si>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</si>
  <si>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</si>
  <si>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</si>
  <si>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</si>
  <si>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</si>
  <si>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</si>
  <si>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</si>
  <si>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</si>
  <si>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</si>
  <si>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</si>
  <si>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</si>
  <si>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</si>
  <si>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</si>
  <si>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</si>
  <si>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</si>
  <si>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</si>
  <si>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</si>
  <si>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</si>
  <si>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</si>
  <si>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</si>
  <si>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</si>
  <si>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</si>
  <si>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</si>
  <si>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</si>
  <si>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</si>
  <si>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</si>
  <si>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</si>
  <si>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</si>
  <si>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</si>
  <si>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</si>
  <si>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</si>
  <si>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</si>
  <si>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</si>
  <si>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</si>
  <si>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</si>
  <si>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</si>
  <si>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</si>
  <si>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</si>
  <si>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</si>
  <si>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</si>
  <si>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</si>
  <si>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</si>
  <si>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</si>
  <si>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</si>
  <si>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</si>
  <si>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</si>
  <si>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</si>
  <si>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</si>
  <si>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</si>
  <si>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</si>
  <si>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</si>
  <si>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</si>
  <si>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</si>
  <si>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</si>
  <si>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</si>
  <si>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</si>
  <si>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</si>
  <si>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</si>
  <si>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</si>
  <si>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</si>
  <si>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</si>
  <si>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</si>
  <si>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</si>
  <si>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</si>
  <si>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</si>
  <si>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</si>
  <si>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</si>
  <si>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</si>
  <si>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</si>
  <si>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</si>
  <si>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</si>
  <si>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</si>
  <si>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</si>
  <si>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</si>
  <si>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</si>
  <si>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</si>
  <si>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</si>
  <si>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</si>
  <si>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</si>
  <si>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</si>
  <si>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</si>
  <si>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</si>
  <si>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</si>
  <si>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</si>
  <si>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</si>
  <si>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</si>
  <si>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</si>
  <si>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</si>
  <si>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</si>
  <si>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</si>
  <si>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</si>
  <si>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</si>
  <si>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</si>
  <si>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</si>
  <si>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</si>
  <si>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</si>
  <si>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</si>
  <si>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</si>
  <si>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</si>
  <si>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</si>
  <si>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</si>
  <si>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</si>
  <si>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</si>
  <si>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</si>
  <si>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</si>
  <si>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</si>
  <si>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</si>
  <si>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</si>
  <si>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</si>
  <si>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</si>
  <si>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</si>
  <si>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</si>
  <si>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</si>
  <si>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</si>
  <si>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</si>
  <si>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</si>
  <si>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</si>
  <si>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</si>
  <si>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</si>
  <si>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</si>
  <si>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</si>
  <si>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</si>
  <si>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</si>
  <si>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</si>
  <si>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</si>
  <si>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</si>
  <si>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</si>
  <si>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</si>
  <si>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</si>
  <si>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</si>
  <si>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</si>
  <si>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</si>
  <si>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</si>
  <si>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</si>
  <si>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</si>
  <si>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</si>
  <si>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</si>
  <si>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</si>
  <si>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</si>
  <si>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</si>
  <si>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</si>
  <si>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</si>
  <si>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</si>
  <si>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</si>
  <si>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</si>
  <si>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</si>
  <si>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</si>
  <si>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</si>
  <si>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</si>
  <si>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</si>
  <si>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</si>
  <si>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</si>
  <si>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</si>
  <si>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</si>
  <si>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</si>
  <si>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</si>
  <si>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</si>
  <si>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</si>
  <si>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</si>
  <si>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</si>
  <si>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</si>
  <si>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</si>
  <si>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</si>
  <si>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</si>
  <si>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</si>
  <si>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</si>
  <si>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</si>
  <si>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</si>
  <si>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</si>
  <si>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</si>
  <si>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</si>
  <si>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</si>
  <si>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</si>
  <si>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</si>
  <si>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</si>
  <si>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</si>
  <si>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</si>
  <si>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</si>
  <si>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</si>
  <si>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</si>
  <si>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</si>
  <si>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</si>
  <si>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</si>
  <si>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</si>
  <si>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</si>
  <si>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</si>
  <si>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</si>
  <si>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</si>
  <si>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</si>
  <si>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</si>
  <si>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</si>
  <si>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</si>
  <si>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</si>
  <si>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</si>
  <si>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</si>
  <si>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</si>
  <si>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</si>
  <si>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</si>
  <si>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</si>
  <si>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</si>
  <si>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</si>
  <si>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</si>
  <si>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</si>
  <si>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</si>
  <si>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</si>
  <si>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</si>
  <si>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</si>
  <si>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</si>
  <si>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</si>
  <si>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</si>
  <si>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</si>
  <si>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</si>
  <si>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</si>
  <si>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</si>
  <si>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</si>
  <si>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</si>
  <si>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</si>
  <si>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</si>
  <si>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</si>
  <si>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</si>
  <si>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</si>
  <si>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</si>
  <si>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</si>
  <si>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</si>
  <si>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</si>
  <si>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</si>
  <si>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</si>
  <si>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</si>
  <si>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</si>
  <si>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</si>
  <si>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</si>
  <si>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</si>
  <si>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</si>
  <si>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</si>
  <si>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</si>
  <si>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</si>
  <si>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</si>
  <si>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</si>
  <si>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</si>
  <si>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</si>
  <si>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</si>
  <si>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</si>
  <si>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</si>
  <si>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</si>
  <si>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</si>
  <si>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</si>
  <si>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</si>
  <si>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</si>
  <si>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</si>
  <si>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</si>
  <si>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</si>
  <si>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</si>
  <si>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</si>
  <si>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</si>
  <si>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</si>
  <si>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</si>
  <si>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</si>
  <si>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</si>
  <si>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</si>
  <si>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</si>
  <si>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</si>
  <si>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</si>
  <si>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</si>
  <si>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</si>
  <si>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</si>
  <si>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</si>
  <si>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</si>
  <si>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</si>
  <si>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</si>
  <si>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</si>
  <si>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</si>
  <si>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</si>
  <si>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</si>
  <si>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</si>
  <si>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</si>
  <si>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</si>
  <si>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</si>
  <si>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</si>
  <si>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</si>
  <si>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</si>
  <si>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</si>
  <si>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</si>
  <si>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</si>
  <si>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</si>
  <si>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</si>
  <si>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</si>
  <si>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</si>
  <si>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</si>
  <si>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</si>
  <si>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</si>
  <si>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</si>
  <si>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</si>
  <si>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</si>
  <si>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</si>
  <si>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</si>
  <si>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</si>
  <si>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</si>
  <si>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</si>
  <si>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</si>
  <si>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</si>
  <si>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</si>
  <si>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</si>
  <si>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</si>
  <si>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</si>
  <si>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</si>
  <si>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</si>
  <si>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</si>
  <si>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</si>
  <si>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</si>
  <si>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</si>
  <si>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</si>
  <si>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</si>
  <si>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</si>
  <si>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</si>
  <si>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</si>
  <si>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</si>
  <si>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</si>
  <si>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</si>
  <si>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</si>
  <si>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</si>
  <si>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</si>
  <si>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</si>
  <si>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</si>
  <si>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</si>
  <si>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</si>
  <si>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</si>
  <si>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</si>
  <si>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</si>
  <si>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</si>
  <si>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</si>
  <si>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</si>
  <si>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</si>
  <si>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</si>
  <si>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</si>
  <si>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</si>
  <si>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</si>
  <si>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</si>
  <si>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</si>
  <si>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</si>
  <si>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</si>
  <si>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</si>
  <si>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</si>
  <si>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</si>
  <si>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</si>
  <si>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</si>
  <si>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</si>
  <si>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</si>
  <si>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</si>
  <si>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</si>
  <si>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</si>
  <si>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</si>
  <si>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</si>
  <si>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</si>
  <si>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</si>
  <si>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</si>
  <si>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</si>
  <si>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</si>
  <si>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</si>
  <si>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</si>
  <si>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</si>
  <si>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</si>
  <si>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</si>
  <si>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</si>
  <si>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</si>
  <si>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</si>
  <si>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</si>
  <si>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</si>
  <si>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</si>
  <si>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</si>
  <si>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</si>
  <si>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</si>
  <si>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</si>
  <si>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</si>
  <si>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</si>
  <si>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</si>
  <si>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</si>
  <si>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</si>
  <si>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</si>
  <si>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</si>
  <si>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</si>
  <si>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</si>
  <si>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</si>
  <si>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</si>
  <si>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</si>
  <si>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</si>
  <si>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</si>
  <si>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</si>
  <si>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</si>
  <si>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</si>
  <si>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</si>
  <si>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</si>
  <si>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</si>
  <si>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</si>
  <si>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</si>
  <si>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</si>
  <si>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</si>
  <si>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</si>
  <si>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</si>
  <si>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</si>
  <si>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</si>
  <si>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</si>
  <si>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</si>
  <si>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</si>
  <si>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</si>
  <si>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</si>
  <si>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</si>
  <si>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</si>
  <si>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</si>
  <si>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</si>
  <si>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</si>
  <si>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</si>
  <si>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</si>
  <si>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</si>
  <si>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</si>
  <si>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</si>
  <si>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</si>
  <si>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</si>
  <si>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</si>
  <si>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</si>
  <si>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</si>
  <si>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</si>
  <si>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</si>
  <si>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</si>
  <si>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</si>
  <si>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</si>
  <si>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</si>
  <si>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</si>
  <si>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</si>
  <si>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</si>
  <si>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</si>
  <si>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</si>
  <si>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</si>
  <si>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</si>
  <si>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</si>
  <si>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</si>
  <si>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</si>
  <si>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</si>
  <si>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</si>
  <si>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</si>
  <si>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</si>
  <si>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</si>
  <si>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</si>
  <si>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</si>
  <si>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</si>
  <si>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</si>
  <si>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</si>
  <si>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</si>
  <si>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</si>
  <si>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</si>
  <si>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</si>
  <si>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</si>
  <si>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</si>
  <si>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</si>
  <si>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</si>
  <si>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</si>
  <si>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</si>
  <si>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</si>
  <si>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</si>
  <si>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</si>
  <si>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</si>
  <si>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</si>
  <si>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</si>
  <si>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</si>
  <si>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</si>
  <si>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</si>
  <si>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</si>
  <si>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</si>
  <si>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</si>
  <si>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</si>
  <si>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</si>
  <si>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</si>
  <si>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</si>
  <si>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</si>
  <si>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</si>
  <si>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</si>
  <si>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</si>
  <si>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</si>
  <si>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</si>
  <si>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</si>
  <si>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</si>
  <si>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</si>
  <si>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</si>
  <si>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</si>
  <si>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</si>
  <si>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</si>
  <si>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</si>
  <si>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</si>
  <si>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</si>
  <si>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</si>
  <si>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</si>
  <si>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</si>
  <si>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</si>
  <si>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</si>
  <si>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</si>
  <si>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</si>
  <si>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</si>
  <si>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</si>
  <si>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</si>
  <si>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</si>
  <si>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</si>
  <si>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</si>
  <si>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</si>
  <si>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</si>
  <si>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</si>
  <si>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</si>
  <si>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</si>
  <si>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</si>
  <si>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</si>
  <si>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</si>
  <si>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</si>
  <si>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</si>
  <si>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</si>
  <si>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</si>
  <si>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</si>
  <si>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</si>
  <si>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</si>
  <si>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</si>
  <si>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</si>
  <si>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</si>
  <si>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</si>
  <si>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Indeks Pembangunan Manusia (Y)</t>
  </si>
  <si>
    <t>Pertumbuhan Ekonomi Sektor Industri Pengolahan (X)</t>
  </si>
  <si>
    <t>X-bar</t>
  </si>
  <si>
    <t>Y-bar</t>
  </si>
  <si>
    <t>Xi-Xbar</t>
  </si>
  <si>
    <t>Yi-Ybar</t>
  </si>
  <si>
    <t>(Xi​−Xˉ)(Yi​−Yˉ)</t>
  </si>
  <si>
    <t>(Xi-Xbar)^2</t>
  </si>
  <si>
    <t>Sum (Xi​−Xˉ)(Yi​−Yˉ)</t>
  </si>
  <si>
    <t>Sum (Xi-Xbar)^2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</si>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</sst>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C000"/>
        <bgColor rgb="FFF28E85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/>
    <xf numFmtId="0" fontId="3" fillId="8" borderId="7" xfId="0" applyFont="1" applyFill="1" applyBorder="1" applyAlignment="1">
      <alignment horizontal="center"/>
    </xf>
    <xf numFmtId="0" fontId="0" fillId="8" borderId="0" xfId="0" applyFill="1"/>
    <xf numFmtId="0" fontId="3" fillId="0" borderId="2" xfId="0" applyFont="1" applyBorder="1" applyAlignment="1">
      <alignment horizontal="center"/>
    </xf>
    <xf numFmtId="0" fontId="0" fillId="0" borderId="8" xfId="0" applyBorder="1"/>
    <xf numFmtId="0" fontId="0" fillId="9" borderId="8" xfId="0" applyFill="1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R120"/>
  <sheetViews>
    <sheetView tabSelected="1" topLeftCell="J1" workbookViewId="0">
      <selection activeCell="R10" sqref="R10"/>
    </sheetView>
  </sheetViews>
  <sheetFormatPr defaultRowHeight="12.5" x14ac:dyDescent="0.25"/>
  <cols>
    <col min="1" max="1" width="20.36328125" bestFit="1" customWidth="1"/>
    <col min="2" max="2" width="30.453125" bestFit="1" customWidth="1"/>
    <col min="3" max="3" width="22.08984375" bestFit="1" customWidth="1"/>
    <col min="4" max="4" width="27.453125" bestFit="1" customWidth="1"/>
    <col min="5" max="5" width="26.08984375" bestFit="1" customWidth="1"/>
    <col min="6" max="6" width="29.6328125" bestFit="1" customWidth="1"/>
    <col min="7" max="7" width="55.453125" bestFit="1" customWidth="1"/>
    <col min="8" max="8" width="48.08984375" style="28" bestFit="1" customWidth="1"/>
    <col min="9" max="9" width="26.54296875" bestFit="1" customWidth="1"/>
    <col min="10" max="10" width="37.7265625" bestFit="1" customWidth="1"/>
    <col min="11" max="11" width="33.90625" bestFit="1" customWidth="1"/>
    <col min="12" max="14" width="12.453125" bestFit="1" customWidth="1"/>
    <col min="15" max="15" width="11.81640625" bestFit="1" customWidth="1"/>
    <col min="17" max="17" width="16.54296875" bestFit="1" customWidth="1"/>
    <col min="18" max="18" width="14" bestFit="1" customWidth="1"/>
  </cols>
  <sheetData>
    <row r="1" spans="1:18" ht="13.15" customHeight="1" x14ac:dyDescent="0.3">
      <c r="A1" s="15" t="s">
        <v>1</v>
      </c>
      <c r="B1" s="10" t="s">
        <v>1705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26" t="s">
        <v>1706</v>
      </c>
      <c r="I1" s="13" t="s">
        <v>9</v>
      </c>
      <c r="J1" s="13" t="s">
        <v>11</v>
      </c>
      <c r="K1" s="10" t="s">
        <v>12</v>
      </c>
      <c r="L1" s="31" t="s">
        <v>1709</v>
      </c>
      <c r="M1" s="31" t="s">
        <v>1710</v>
      </c>
      <c r="N1" t="s">
        <v>1711</v>
      </c>
      <c r="O1" s="31" t="s">
        <v>1712</v>
      </c>
      <c r="Q1" t="s">
        <v>1707</v>
      </c>
      <c r="R1" t="s">
        <v>1708</v>
      </c>
    </row>
    <row r="2" spans="1:18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27">
        <v>0.37</v>
      </c>
      <c r="I2" s="6">
        <v>93.62</v>
      </c>
      <c r="J2" s="6">
        <v>72.58</v>
      </c>
      <c r="K2" s="29">
        <v>7.93</v>
      </c>
      <c r="L2" s="30">
        <f>H2-$Q$2</f>
        <v>-4.4531932773109242</v>
      </c>
      <c r="M2" s="30">
        <f>B2-$R$2</f>
        <v>0.94386554621844709</v>
      </c>
      <c r="N2">
        <f>L2*M2</f>
        <v>-4.203215705105392</v>
      </c>
      <c r="O2">
        <f>L2*L2</f>
        <v>19.830930365087209</v>
      </c>
      <c r="Q2">
        <f>AVERAGE(H2:H120)</f>
        <v>4.8231932773109243</v>
      </c>
      <c r="R2">
        <f>AVERAGE(B2:B120)</f>
        <v>75.746134453781551</v>
      </c>
    </row>
    <row r="3" spans="1:18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27">
        <v>3.74</v>
      </c>
      <c r="I3" s="6">
        <v>97.3</v>
      </c>
      <c r="J3" s="6">
        <v>64.81</v>
      </c>
      <c r="K3" s="29">
        <v>5.22</v>
      </c>
      <c r="L3" s="30">
        <f>H3-$Q$2</f>
        <v>-1.0831932773109241</v>
      </c>
      <c r="M3" s="30">
        <f t="shared" ref="M3:M66" si="0">B3-$R$2</f>
        <v>11.823865546218443</v>
      </c>
      <c r="N3">
        <f t="shared" ref="N3:N66" si="1">L3*M3</f>
        <v>-12.807531671492073</v>
      </c>
      <c r="O3">
        <f t="shared" ref="O3:O66" si="2">L3*L3</f>
        <v>1.1733076760115804</v>
      </c>
    </row>
    <row r="4" spans="1:18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27">
        <v>2.13</v>
      </c>
      <c r="I4" s="6">
        <v>95.9</v>
      </c>
      <c r="J4" s="6">
        <v>64.489999999999995</v>
      </c>
      <c r="K4" s="29">
        <v>6.95</v>
      </c>
      <c r="L4" s="30">
        <f t="shared" ref="L4:L67" si="3">H4-$Q$2</f>
        <v>-2.6931932773109244</v>
      </c>
      <c r="M4" s="30">
        <f t="shared" si="0"/>
        <v>9.0138655462184545</v>
      </c>
      <c r="N4">
        <f t="shared" si="1"/>
        <v>-24.276082091660104</v>
      </c>
      <c r="O4">
        <f t="shared" si="2"/>
        <v>7.2532900289527573</v>
      </c>
      <c r="Q4" t="s">
        <v>1713</v>
      </c>
      <c r="R4" s="31" t="s">
        <v>1714</v>
      </c>
    </row>
    <row r="5" spans="1:18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27">
        <v>0.01</v>
      </c>
      <c r="I5" s="6">
        <v>96.24</v>
      </c>
      <c r="J5" s="6">
        <v>65.12</v>
      </c>
      <c r="K5" s="29">
        <v>6.24</v>
      </c>
      <c r="L5" s="30">
        <f t="shared" si="3"/>
        <v>-4.8131932773109245</v>
      </c>
      <c r="M5" s="30">
        <f t="shared" si="0"/>
        <v>8.0038655462184494</v>
      </c>
      <c r="N5">
        <f t="shared" si="1"/>
        <v>-38.524151839559174</v>
      </c>
      <c r="O5">
        <f t="shared" si="2"/>
        <v>23.16682952475108</v>
      </c>
      <c r="Q5">
        <f>SUM(N2:N120)</f>
        <v>-458.19193109243662</v>
      </c>
      <c r="R5">
        <f>SUM(O2:O120)</f>
        <v>557.28978655462197</v>
      </c>
    </row>
    <row r="6" spans="1:18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27">
        <v>2.16</v>
      </c>
      <c r="I6" s="6">
        <v>95.66</v>
      </c>
      <c r="J6" s="6">
        <v>64.12</v>
      </c>
      <c r="K6" s="29">
        <v>6.18</v>
      </c>
      <c r="L6" s="30">
        <f t="shared" si="3"/>
        <v>-2.6631932773109241</v>
      </c>
      <c r="M6" s="30">
        <f t="shared" si="0"/>
        <v>8.6538655462184551</v>
      </c>
      <c r="N6">
        <f t="shared" si="1"/>
        <v>-23.046916545441618</v>
      </c>
      <c r="O6">
        <f t="shared" si="2"/>
        <v>7.0925984323141007</v>
      </c>
    </row>
    <row r="7" spans="1:18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27">
        <v>0.52</v>
      </c>
      <c r="I7" s="6">
        <v>94.43</v>
      </c>
      <c r="J7" s="6">
        <v>67.77</v>
      </c>
      <c r="K7" s="29">
        <v>6.18</v>
      </c>
      <c r="L7" s="30">
        <f t="shared" si="3"/>
        <v>-4.3031932773109247</v>
      </c>
      <c r="M7" s="30">
        <f t="shared" si="0"/>
        <v>6.3838655462184448</v>
      </c>
      <c r="N7">
        <f t="shared" si="1"/>
        <v>-27.471007301744045</v>
      </c>
      <c r="O7">
        <f t="shared" si="2"/>
        <v>18.517472381893938</v>
      </c>
    </row>
    <row r="8" spans="1:18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27">
        <v>3.94</v>
      </c>
      <c r="I8" s="6">
        <v>90.98</v>
      </c>
      <c r="J8" s="6">
        <v>66.3</v>
      </c>
      <c r="K8" s="29">
        <v>7.34</v>
      </c>
      <c r="L8" s="30">
        <f t="shared" si="3"/>
        <v>-0.88319327731092434</v>
      </c>
      <c r="M8" s="30">
        <f t="shared" si="0"/>
        <v>-2.1161344537815552</v>
      </c>
      <c r="N8">
        <f t="shared" si="1"/>
        <v>1.8689557234658944</v>
      </c>
      <c r="O8">
        <f t="shared" si="2"/>
        <v>0.78003036508721135</v>
      </c>
      <c r="Q8" t="s">
        <v>1715</v>
      </c>
      <c r="R8">
        <f>Q5/R5</f>
        <v>-0.82217894916961232</v>
      </c>
    </row>
    <row r="9" spans="1:18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27">
        <v>7.72</v>
      </c>
      <c r="I9" s="6">
        <v>89.38</v>
      </c>
      <c r="J9" s="6">
        <v>69.75</v>
      </c>
      <c r="K9" s="29">
        <v>7.11</v>
      </c>
      <c r="L9" s="30">
        <f t="shared" si="3"/>
        <v>2.8968067226890755</v>
      </c>
      <c r="M9" s="30">
        <f t="shared" si="0"/>
        <v>-5.5661344537815438</v>
      </c>
      <c r="N9">
        <f t="shared" si="1"/>
        <v>-16.124015705105663</v>
      </c>
      <c r="O9">
        <f t="shared" si="2"/>
        <v>8.3914891886166227</v>
      </c>
      <c r="Q9" t="s">
        <v>1716</v>
      </c>
      <c r="R9">
        <f>R2-(R8*Q2)</f>
        <v>79.711662434162989</v>
      </c>
    </row>
    <row r="10" spans="1:18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27">
        <v>5.48</v>
      </c>
      <c r="I10" s="6">
        <v>86.22</v>
      </c>
      <c r="J10" s="6">
        <v>72.63</v>
      </c>
      <c r="K10" s="29">
        <v>5.99</v>
      </c>
      <c r="L10" s="30">
        <f t="shared" si="3"/>
        <v>0.65680672268907614</v>
      </c>
      <c r="M10" s="30">
        <f t="shared" si="0"/>
        <v>-6.8561344537815501</v>
      </c>
      <c r="N10">
        <f t="shared" si="1"/>
        <v>-4.5031552009039189</v>
      </c>
      <c r="O10">
        <f t="shared" si="2"/>
        <v>0.43139507096956498</v>
      </c>
    </row>
    <row r="11" spans="1:18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27">
        <v>6.21</v>
      </c>
      <c r="I11" s="6">
        <v>95.1</v>
      </c>
      <c r="J11" s="6">
        <v>67.22</v>
      </c>
      <c r="K11" s="29">
        <v>6.36</v>
      </c>
      <c r="L11" s="30">
        <f t="shared" si="3"/>
        <v>1.3868067226890757</v>
      </c>
      <c r="M11" s="30">
        <f t="shared" si="0"/>
        <v>-1.1561344537815472</v>
      </c>
      <c r="N11">
        <f t="shared" si="1"/>
        <v>-1.6033350328367122</v>
      </c>
      <c r="O11">
        <f t="shared" si="2"/>
        <v>1.9232328860956149</v>
      </c>
    </row>
    <row r="12" spans="1:18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27">
        <v>9.4499999999999993</v>
      </c>
      <c r="I12" s="6">
        <v>84.24</v>
      </c>
      <c r="J12" s="6">
        <v>71.34</v>
      </c>
      <c r="K12" s="29">
        <v>6.96</v>
      </c>
      <c r="L12" s="30">
        <f t="shared" si="3"/>
        <v>4.626806722689075</v>
      </c>
      <c r="M12" s="30">
        <f t="shared" si="0"/>
        <v>-5.836134453781554</v>
      </c>
      <c r="N12">
        <f t="shared" si="1"/>
        <v>-27.002666125273826</v>
      </c>
      <c r="O12">
        <f t="shared" si="2"/>
        <v>21.40734044912082</v>
      </c>
    </row>
    <row r="13" spans="1:18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27">
        <v>9.57</v>
      </c>
      <c r="I13" s="6">
        <v>87.64</v>
      </c>
      <c r="J13" s="6">
        <v>68.760000000000005</v>
      </c>
      <c r="K13" s="29">
        <v>3.74</v>
      </c>
      <c r="L13" s="30">
        <f t="shared" si="3"/>
        <v>4.746806722689076</v>
      </c>
      <c r="M13" s="30">
        <f t="shared" si="0"/>
        <v>-5.7661344537815467</v>
      </c>
      <c r="N13">
        <f t="shared" si="1"/>
        <v>-27.37072578913935</v>
      </c>
      <c r="O13">
        <f t="shared" si="2"/>
        <v>22.532174062566206</v>
      </c>
    </row>
    <row r="14" spans="1:18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27">
        <v>3.27</v>
      </c>
      <c r="I14" s="6">
        <v>88.29</v>
      </c>
      <c r="J14" s="6">
        <v>68.14</v>
      </c>
      <c r="K14" s="29">
        <v>3.37</v>
      </c>
      <c r="L14" s="30">
        <f t="shared" si="3"/>
        <v>-1.5531932773109243</v>
      </c>
      <c r="M14" s="30">
        <f t="shared" si="0"/>
        <v>-2.1061344537815501</v>
      </c>
      <c r="N14">
        <f t="shared" si="1"/>
        <v>3.2712338747264189</v>
      </c>
      <c r="O14">
        <f t="shared" si="2"/>
        <v>2.4124093566838498</v>
      </c>
    </row>
    <row r="15" spans="1:18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27">
        <v>5.83</v>
      </c>
      <c r="I15" s="6">
        <v>88</v>
      </c>
      <c r="J15" s="6">
        <v>65.84</v>
      </c>
      <c r="K15" s="29">
        <v>7.78</v>
      </c>
      <c r="L15" s="30">
        <f t="shared" si="3"/>
        <v>1.0068067226890758</v>
      </c>
      <c r="M15" s="30">
        <f t="shared" si="0"/>
        <v>-4.1861344537815484</v>
      </c>
      <c r="N15">
        <f t="shared" si="1"/>
        <v>-4.2146283101476252</v>
      </c>
      <c r="O15">
        <f t="shared" si="2"/>
        <v>1.0136597768519175</v>
      </c>
    </row>
    <row r="16" spans="1:18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27">
        <v>5.87</v>
      </c>
      <c r="I16" s="6">
        <v>85.43</v>
      </c>
      <c r="J16" s="6">
        <v>69.27</v>
      </c>
      <c r="K16" s="29">
        <v>6.74</v>
      </c>
      <c r="L16" s="30">
        <f t="shared" si="3"/>
        <v>1.0468067226890758</v>
      </c>
      <c r="M16" s="30">
        <f t="shared" si="0"/>
        <v>-3.4461344537815535</v>
      </c>
      <c r="N16">
        <f t="shared" si="1"/>
        <v>-3.6074367135089762</v>
      </c>
      <c r="O16">
        <f t="shared" si="2"/>
        <v>1.0958043146670438</v>
      </c>
    </row>
    <row r="17" spans="1:15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27">
        <v>9.02</v>
      </c>
      <c r="I17" s="6">
        <v>87.98</v>
      </c>
      <c r="J17" s="6">
        <v>69.64</v>
      </c>
      <c r="K17" s="29">
        <v>4.01</v>
      </c>
      <c r="L17" s="30">
        <f t="shared" si="3"/>
        <v>4.1968067226890753</v>
      </c>
      <c r="M17" s="30">
        <f t="shared" si="0"/>
        <v>-4.3761344537815461</v>
      </c>
      <c r="N17">
        <f t="shared" si="1"/>
        <v>-18.365790495021677</v>
      </c>
      <c r="O17">
        <f t="shared" si="2"/>
        <v>17.613186667608218</v>
      </c>
    </row>
    <row r="18" spans="1:15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27">
        <v>-1.1299999999999999</v>
      </c>
      <c r="I18" s="6">
        <v>96.22</v>
      </c>
      <c r="J18" s="6">
        <v>69.239999999999995</v>
      </c>
      <c r="K18" s="29">
        <v>6.16</v>
      </c>
      <c r="L18" s="30">
        <f t="shared" si="3"/>
        <v>-5.9531932773109242</v>
      </c>
      <c r="M18" s="30">
        <f t="shared" si="0"/>
        <v>-1.1761344537815575</v>
      </c>
      <c r="N18">
        <f t="shared" si="1"/>
        <v>7.0017557234661236</v>
      </c>
      <c r="O18">
        <f t="shared" si="2"/>
        <v>35.440510197019982</v>
      </c>
    </row>
    <row r="19" spans="1:15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27">
        <v>0</v>
      </c>
      <c r="I19" s="6">
        <v>89.78</v>
      </c>
      <c r="J19" s="6">
        <v>66.430000000000007</v>
      </c>
      <c r="K19" s="29">
        <v>6.25</v>
      </c>
      <c r="L19" s="30">
        <f t="shared" si="3"/>
        <v>-4.8231932773109243</v>
      </c>
      <c r="M19" s="30">
        <f t="shared" si="0"/>
        <v>-5.0261344537815518</v>
      </c>
      <c r="N19">
        <f t="shared" si="1"/>
        <v>24.242017908339996</v>
      </c>
      <c r="O19">
        <f t="shared" si="2"/>
        <v>23.263193390297296</v>
      </c>
    </row>
    <row r="20" spans="1:15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27">
        <v>4.8600000000000003</v>
      </c>
      <c r="I20" s="6">
        <v>92.11</v>
      </c>
      <c r="J20" s="6">
        <v>71.709999999999994</v>
      </c>
      <c r="K20" s="29">
        <v>6.73</v>
      </c>
      <c r="L20" s="30">
        <f t="shared" si="3"/>
        <v>3.6806722689076032E-2</v>
      </c>
      <c r="M20" s="30">
        <f t="shared" si="0"/>
        <v>-3.6961344537815535</v>
      </c>
      <c r="N20">
        <f t="shared" si="1"/>
        <v>-0.13604259586187714</v>
      </c>
      <c r="O20">
        <f t="shared" si="2"/>
        <v>1.3547348351105443E-3</v>
      </c>
    </row>
    <row r="21" spans="1:15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27">
        <v>3.46</v>
      </c>
      <c r="I21" s="6">
        <v>87.96</v>
      </c>
      <c r="J21" s="6">
        <v>66.62</v>
      </c>
      <c r="K21" s="29">
        <v>7.34</v>
      </c>
      <c r="L21" s="30">
        <f t="shared" si="3"/>
        <v>-1.3631932773109243</v>
      </c>
      <c r="M21" s="30">
        <f t="shared" si="0"/>
        <v>-1.7561344537815557</v>
      </c>
      <c r="N21">
        <f t="shared" si="1"/>
        <v>2.3939506814491089</v>
      </c>
      <c r="O21">
        <f t="shared" si="2"/>
        <v>1.8582959113056987</v>
      </c>
    </row>
    <row r="22" spans="1:15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27">
        <v>2.91</v>
      </c>
      <c r="I22" s="6">
        <v>91.98</v>
      </c>
      <c r="J22" s="6">
        <v>63.67</v>
      </c>
      <c r="K22" s="29">
        <v>8.0399999999999991</v>
      </c>
      <c r="L22" s="30">
        <f t="shared" si="3"/>
        <v>-1.9131932773109241</v>
      </c>
      <c r="M22" s="30">
        <f t="shared" si="0"/>
        <v>-1.9261344537815575</v>
      </c>
      <c r="N22">
        <f t="shared" si="1"/>
        <v>3.6850674881718248</v>
      </c>
      <c r="O22">
        <f t="shared" si="2"/>
        <v>3.6603085163477145</v>
      </c>
    </row>
    <row r="23" spans="1:15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27">
        <v>4.93</v>
      </c>
      <c r="I23" s="6">
        <v>90.18</v>
      </c>
      <c r="J23" s="6">
        <v>65.11</v>
      </c>
      <c r="K23" s="29">
        <v>8.82</v>
      </c>
      <c r="L23" s="30">
        <f t="shared" si="3"/>
        <v>0.10680672268907543</v>
      </c>
      <c r="M23" s="30">
        <f t="shared" si="0"/>
        <v>1.0538655462184465</v>
      </c>
      <c r="N23">
        <f t="shared" si="1"/>
        <v>0.11255992514652462</v>
      </c>
      <c r="O23">
        <f t="shared" si="2"/>
        <v>1.1407676011581059E-2</v>
      </c>
    </row>
    <row r="24" spans="1:15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27">
        <v>3.14</v>
      </c>
      <c r="I24" s="6">
        <v>81.59</v>
      </c>
      <c r="J24" s="6">
        <v>68.3</v>
      </c>
      <c r="K24" s="29">
        <v>6.7</v>
      </c>
      <c r="L24" s="30">
        <f t="shared" si="3"/>
        <v>-1.6831932773109242</v>
      </c>
      <c r="M24" s="30">
        <f t="shared" si="0"/>
        <v>-4.9761344537815546</v>
      </c>
      <c r="N24">
        <f t="shared" si="1"/>
        <v>8.3757960596003809</v>
      </c>
      <c r="O24">
        <f t="shared" si="2"/>
        <v>2.8331396087846898</v>
      </c>
    </row>
    <row r="25" spans="1:15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27">
        <v>2.5299999999999998</v>
      </c>
      <c r="I25" s="6">
        <v>91.22</v>
      </c>
      <c r="J25" s="6">
        <v>80.12</v>
      </c>
      <c r="K25" s="29">
        <v>1.58</v>
      </c>
      <c r="L25" s="30">
        <f t="shared" si="3"/>
        <v>-2.2931932773109245</v>
      </c>
      <c r="M25" s="30">
        <f t="shared" si="0"/>
        <v>-4.7161344537815495</v>
      </c>
      <c r="N25">
        <f t="shared" si="1"/>
        <v>10.815007824306278</v>
      </c>
      <c r="O25">
        <f t="shared" si="2"/>
        <v>5.2587354071040187</v>
      </c>
    </row>
    <row r="26" spans="1:15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27">
        <v>2.4500000000000002</v>
      </c>
      <c r="I26" s="6">
        <v>92.34</v>
      </c>
      <c r="J26" s="6">
        <v>67.349999999999994</v>
      </c>
      <c r="K26" s="29">
        <v>8.1300000000000008</v>
      </c>
      <c r="L26" s="30">
        <f t="shared" si="3"/>
        <v>-2.3731932773109241</v>
      </c>
      <c r="M26" s="30">
        <f t="shared" si="0"/>
        <v>3.2838655462184505</v>
      </c>
      <c r="N26">
        <f t="shared" si="1"/>
        <v>-7.7932476378785926</v>
      </c>
      <c r="O26">
        <f t="shared" si="2"/>
        <v>5.6320463314737648</v>
      </c>
    </row>
    <row r="27" spans="1:15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27">
        <v>5.97</v>
      </c>
      <c r="I27" s="6">
        <v>93.24</v>
      </c>
      <c r="J27" s="6">
        <v>62.58</v>
      </c>
      <c r="K27" s="29">
        <v>8.34</v>
      </c>
      <c r="L27" s="30">
        <f t="shared" si="3"/>
        <v>1.1468067226890755</v>
      </c>
      <c r="M27" s="30">
        <f t="shared" si="0"/>
        <v>1.9438655462184471</v>
      </c>
      <c r="N27">
        <f t="shared" si="1"/>
        <v>2.229238076406987</v>
      </c>
      <c r="O27">
        <f t="shared" si="2"/>
        <v>1.315165659204858</v>
      </c>
    </row>
    <row r="28" spans="1:15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27">
        <v>0.77</v>
      </c>
      <c r="I28" s="6">
        <v>95.38</v>
      </c>
      <c r="J28" s="6">
        <v>67.930000000000007</v>
      </c>
      <c r="K28" s="29">
        <v>7.4</v>
      </c>
      <c r="L28" s="30">
        <f t="shared" si="3"/>
        <v>-4.0531932773109247</v>
      </c>
      <c r="M28" s="30">
        <f t="shared" si="0"/>
        <v>8.0038655462184494</v>
      </c>
      <c r="N28">
        <f t="shared" si="1"/>
        <v>-32.441214024433151</v>
      </c>
      <c r="O28">
        <f t="shared" si="2"/>
        <v>16.428375743238476</v>
      </c>
    </row>
    <row r="29" spans="1:15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27">
        <v>1.27</v>
      </c>
      <c r="I29" s="6">
        <v>96.59</v>
      </c>
      <c r="J29" s="6">
        <v>68.55</v>
      </c>
      <c r="K29" s="29">
        <v>6.29</v>
      </c>
      <c r="L29" s="30">
        <f t="shared" si="3"/>
        <v>-3.5531932773109243</v>
      </c>
      <c r="M29" s="30">
        <f t="shared" si="0"/>
        <v>2.3438655462184528</v>
      </c>
      <c r="N29">
        <f t="shared" si="1"/>
        <v>-8.3282073017441043</v>
      </c>
      <c r="O29">
        <f t="shared" si="2"/>
        <v>12.625182465927546</v>
      </c>
    </row>
    <row r="30" spans="1:15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27">
        <v>2.96</v>
      </c>
      <c r="I30" s="6">
        <v>94.28</v>
      </c>
      <c r="J30" s="6">
        <v>65.58</v>
      </c>
      <c r="K30" s="29">
        <v>7.82</v>
      </c>
      <c r="L30" s="30">
        <f t="shared" si="3"/>
        <v>-1.8631932773109243</v>
      </c>
      <c r="M30" s="30">
        <f t="shared" si="0"/>
        <v>7.8038655462184465</v>
      </c>
      <c r="N30">
        <f t="shared" si="1"/>
        <v>-14.540109822752553</v>
      </c>
      <c r="O30">
        <f t="shared" si="2"/>
        <v>3.4714891886166228</v>
      </c>
    </row>
    <row r="31" spans="1:15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27">
        <v>5</v>
      </c>
      <c r="I31" s="6">
        <v>94.26</v>
      </c>
      <c r="J31" s="6">
        <v>62.89</v>
      </c>
      <c r="K31" s="29">
        <v>6.27</v>
      </c>
      <c r="L31" s="30">
        <f t="shared" si="3"/>
        <v>0.17680672268907571</v>
      </c>
      <c r="M31" s="30">
        <f t="shared" si="0"/>
        <v>7.3038655462184465</v>
      </c>
      <c r="N31">
        <f t="shared" si="1"/>
        <v>1.2913725301885395</v>
      </c>
      <c r="O31">
        <f t="shared" si="2"/>
        <v>3.1260617188051718E-2</v>
      </c>
    </row>
    <row r="32" spans="1:15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27">
        <v>2.81</v>
      </c>
      <c r="I32" s="6">
        <v>92.78</v>
      </c>
      <c r="J32" s="6">
        <v>66.52</v>
      </c>
      <c r="K32" s="29">
        <v>8.9700000000000006</v>
      </c>
      <c r="L32" s="30">
        <f t="shared" si="3"/>
        <v>-2.0131932773109242</v>
      </c>
      <c r="M32" s="30">
        <f t="shared" si="0"/>
        <v>4.5538655462184465</v>
      </c>
      <c r="N32">
        <f t="shared" si="1"/>
        <v>-9.1678115034248169</v>
      </c>
      <c r="O32">
        <f t="shared" si="2"/>
        <v>4.0529471718099002</v>
      </c>
    </row>
    <row r="33" spans="1:15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27">
        <v>5.46</v>
      </c>
      <c r="I33" s="6">
        <v>92.98</v>
      </c>
      <c r="J33" s="6">
        <v>68.92</v>
      </c>
      <c r="K33" s="29">
        <v>6.49</v>
      </c>
      <c r="L33" s="30">
        <f t="shared" si="3"/>
        <v>0.63680672268907568</v>
      </c>
      <c r="M33" s="30">
        <f t="shared" si="0"/>
        <v>0.2838655462184505</v>
      </c>
      <c r="N33">
        <f t="shared" si="1"/>
        <v>0.18076748817171581</v>
      </c>
      <c r="O33">
        <f t="shared" si="2"/>
        <v>0.40552280206200131</v>
      </c>
    </row>
    <row r="34" spans="1:15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27">
        <v>3.91</v>
      </c>
      <c r="I34" s="6">
        <v>88.93</v>
      </c>
      <c r="J34" s="6">
        <v>67.22</v>
      </c>
      <c r="K34" s="29">
        <v>5.44</v>
      </c>
      <c r="L34" s="30">
        <f t="shared" si="3"/>
        <v>-0.91319327731092415</v>
      </c>
      <c r="M34" s="30">
        <f t="shared" si="0"/>
        <v>-0.73613445378154552</v>
      </c>
      <c r="N34">
        <f t="shared" si="1"/>
        <v>0.67223303439025661</v>
      </c>
      <c r="O34">
        <f t="shared" si="2"/>
        <v>0.83392196172586641</v>
      </c>
    </row>
    <row r="35" spans="1:15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27">
        <v>1.06</v>
      </c>
      <c r="I35" s="6">
        <v>87.82</v>
      </c>
      <c r="J35" s="6">
        <v>67.95</v>
      </c>
      <c r="K35" s="29">
        <v>7.83</v>
      </c>
      <c r="L35" s="30">
        <f t="shared" si="3"/>
        <v>-3.7631932773109242</v>
      </c>
      <c r="M35" s="30">
        <f t="shared" si="0"/>
        <v>-3.1961344537815535</v>
      </c>
      <c r="N35">
        <f t="shared" si="1"/>
        <v>12.027671689852564</v>
      </c>
      <c r="O35">
        <f t="shared" si="2"/>
        <v>14.161623642398135</v>
      </c>
    </row>
    <row r="36" spans="1:15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27">
        <v>5.05</v>
      </c>
      <c r="I36" s="6">
        <v>89.64</v>
      </c>
      <c r="J36" s="6">
        <v>68.03</v>
      </c>
      <c r="K36" s="29">
        <v>6.18</v>
      </c>
      <c r="L36" s="30">
        <f t="shared" si="3"/>
        <v>0.22680672268907554</v>
      </c>
      <c r="M36" s="30">
        <f t="shared" si="0"/>
        <v>-1.2261344537815546</v>
      </c>
      <c r="N36">
        <f t="shared" si="1"/>
        <v>-0.27809553703835416</v>
      </c>
      <c r="O36">
        <f t="shared" si="2"/>
        <v>5.1441289456959208E-2</v>
      </c>
    </row>
    <row r="37" spans="1:15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27">
        <v>4.25</v>
      </c>
      <c r="I37" s="6">
        <v>93.92</v>
      </c>
      <c r="J37" s="6">
        <v>74.47</v>
      </c>
      <c r="K37" s="29">
        <v>4.96</v>
      </c>
      <c r="L37" s="30">
        <f t="shared" si="3"/>
        <v>-0.57319327731092429</v>
      </c>
      <c r="M37" s="30">
        <f t="shared" si="0"/>
        <v>-4.7761344537815518</v>
      </c>
      <c r="N37">
        <f t="shared" si="1"/>
        <v>2.7376481604406688</v>
      </c>
      <c r="O37">
        <f t="shared" si="2"/>
        <v>0.32855053315443816</v>
      </c>
    </row>
    <row r="38" spans="1:15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27">
        <v>4.37</v>
      </c>
      <c r="I38" s="6">
        <v>95.11</v>
      </c>
      <c r="J38" s="6">
        <v>73.38</v>
      </c>
      <c r="K38" s="29">
        <v>5.57</v>
      </c>
      <c r="L38" s="30">
        <f t="shared" si="3"/>
        <v>-0.45319327731092418</v>
      </c>
      <c r="M38" s="30">
        <f t="shared" si="0"/>
        <v>-6.1261344537815461</v>
      </c>
      <c r="N38">
        <f t="shared" si="1"/>
        <v>2.7763229503566271</v>
      </c>
      <c r="O38">
        <f t="shared" si="2"/>
        <v>0.20538414659981621</v>
      </c>
    </row>
    <row r="39" spans="1:15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27">
        <v>6</v>
      </c>
      <c r="I39" s="6">
        <v>93.39</v>
      </c>
      <c r="J39" s="6">
        <v>77.37</v>
      </c>
      <c r="K39" s="29">
        <v>5.07</v>
      </c>
      <c r="L39" s="30">
        <f t="shared" si="3"/>
        <v>1.1768067226890757</v>
      </c>
      <c r="M39" s="30">
        <f t="shared" si="0"/>
        <v>-3.2661344537815467</v>
      </c>
      <c r="N39">
        <f t="shared" si="1"/>
        <v>-3.8436089824165363</v>
      </c>
      <c r="O39">
        <f t="shared" si="2"/>
        <v>1.384874062566203</v>
      </c>
    </row>
    <row r="40" spans="1:15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27">
        <v>4.8600000000000003</v>
      </c>
      <c r="I40" s="6">
        <v>95.24</v>
      </c>
      <c r="J40" s="6">
        <v>73.72</v>
      </c>
      <c r="K40" s="29">
        <v>3.89</v>
      </c>
      <c r="L40" s="30">
        <f t="shared" si="3"/>
        <v>3.6806722689076032E-2</v>
      </c>
      <c r="M40" s="30">
        <f t="shared" si="0"/>
        <v>-0.58613445378155404</v>
      </c>
      <c r="N40">
        <f t="shared" si="1"/>
        <v>-2.1573688298850712E-2</v>
      </c>
      <c r="O40">
        <f t="shared" si="2"/>
        <v>1.3547348351105443E-3</v>
      </c>
    </row>
    <row r="41" spans="1:15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27">
        <v>1.42</v>
      </c>
      <c r="I41" s="6">
        <v>92.94</v>
      </c>
      <c r="J41" s="6">
        <v>74.97</v>
      </c>
      <c r="K41" s="29">
        <v>4.0199999999999996</v>
      </c>
      <c r="L41" s="30">
        <f t="shared" si="3"/>
        <v>-3.4031932773109244</v>
      </c>
      <c r="M41" s="30">
        <f t="shared" si="0"/>
        <v>-5.1161344537815552</v>
      </c>
      <c r="N41">
        <f t="shared" si="1"/>
        <v>17.411194378928187</v>
      </c>
      <c r="O41">
        <f t="shared" si="2"/>
        <v>11.58172448273427</v>
      </c>
    </row>
    <row r="42" spans="1:15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27">
        <v>6.54</v>
      </c>
      <c r="I42" s="6">
        <v>92.93</v>
      </c>
      <c r="J42" s="6">
        <v>77.72</v>
      </c>
      <c r="K42" s="29">
        <v>3.55</v>
      </c>
      <c r="L42" s="30">
        <f t="shared" si="3"/>
        <v>1.7168067226890757</v>
      </c>
      <c r="M42" s="30">
        <f t="shared" si="0"/>
        <v>-3.6461344537815563</v>
      </c>
      <c r="N42">
        <f t="shared" si="1"/>
        <v>-6.259708142080437</v>
      </c>
      <c r="O42">
        <f t="shared" si="2"/>
        <v>2.9474253230704051</v>
      </c>
    </row>
    <row r="43" spans="1:15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27">
        <v>6.5</v>
      </c>
      <c r="I43" s="6">
        <v>94.76</v>
      </c>
      <c r="J43" s="6">
        <v>75.25</v>
      </c>
      <c r="K43" s="29">
        <v>3.16</v>
      </c>
      <c r="L43" s="30">
        <f t="shared" si="3"/>
        <v>1.6768067226890757</v>
      </c>
      <c r="M43" s="30">
        <f t="shared" si="0"/>
        <v>0.21386554621844311</v>
      </c>
      <c r="N43">
        <f t="shared" si="1"/>
        <v>0.35861118565065664</v>
      </c>
      <c r="O43">
        <f t="shared" si="2"/>
        <v>2.811680785255279</v>
      </c>
    </row>
    <row r="44" spans="1:15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27">
        <v>5.37</v>
      </c>
      <c r="I44" s="6">
        <v>95.99</v>
      </c>
      <c r="J44" s="6">
        <v>74.239999999999995</v>
      </c>
      <c r="K44" s="29">
        <v>3.97</v>
      </c>
      <c r="L44" s="30">
        <f t="shared" si="3"/>
        <v>0.54680672268907582</v>
      </c>
      <c r="M44" s="30">
        <f t="shared" si="0"/>
        <v>2.413865546218446</v>
      </c>
      <c r="N44">
        <f t="shared" si="1"/>
        <v>1.3199179083397843</v>
      </c>
      <c r="O44">
        <f t="shared" si="2"/>
        <v>0.29899759197796788</v>
      </c>
    </row>
    <row r="45" spans="1:15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27">
        <v>3.63</v>
      </c>
      <c r="I45" s="6">
        <v>97.87</v>
      </c>
      <c r="J45" s="6">
        <v>68.209999999999994</v>
      </c>
      <c r="K45" s="29">
        <v>3.65</v>
      </c>
      <c r="L45" s="30">
        <f t="shared" si="3"/>
        <v>-1.1931932773109244</v>
      </c>
      <c r="M45" s="30">
        <f t="shared" si="0"/>
        <v>3.5538655462184465</v>
      </c>
      <c r="N45">
        <f t="shared" si="1"/>
        <v>-4.2404484782147662</v>
      </c>
      <c r="O45">
        <f t="shared" si="2"/>
        <v>1.4237101970199846</v>
      </c>
    </row>
    <row r="46" spans="1:15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27">
        <v>6.49</v>
      </c>
      <c r="I46" s="6">
        <v>92.27</v>
      </c>
      <c r="J46" s="6">
        <v>77.75</v>
      </c>
      <c r="K46" s="29">
        <v>2.4</v>
      </c>
      <c r="L46" s="30">
        <f t="shared" si="3"/>
        <v>1.6668067226890759</v>
      </c>
      <c r="M46" s="30">
        <f t="shared" si="0"/>
        <v>-3.2061344537815444</v>
      </c>
      <c r="N46">
        <f t="shared" si="1"/>
        <v>-5.3440064614081466</v>
      </c>
      <c r="O46">
        <f t="shared" si="2"/>
        <v>2.778244650801498</v>
      </c>
    </row>
    <row r="47" spans="1:15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27">
        <v>5.4</v>
      </c>
      <c r="I47" s="6">
        <v>97.13</v>
      </c>
      <c r="J47" s="6">
        <v>74.569999999999993</v>
      </c>
      <c r="K47" s="29">
        <v>3.47</v>
      </c>
      <c r="L47" s="30">
        <f t="shared" si="3"/>
        <v>0.57680672268907607</v>
      </c>
      <c r="M47" s="30">
        <f t="shared" si="0"/>
        <v>2.3638655462184488</v>
      </c>
      <c r="N47">
        <f t="shared" si="1"/>
        <v>1.363493538591886</v>
      </c>
      <c r="O47">
        <f t="shared" si="2"/>
        <v>0.33270599533931272</v>
      </c>
    </row>
    <row r="48" spans="1:15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27">
        <v>4.9000000000000004</v>
      </c>
      <c r="I48" s="6">
        <v>92.57</v>
      </c>
      <c r="J48" s="6">
        <v>74.540000000000006</v>
      </c>
      <c r="K48" s="29">
        <v>3.53</v>
      </c>
      <c r="L48" s="30">
        <f t="shared" si="3"/>
        <v>7.6806722689076068E-2</v>
      </c>
      <c r="M48" s="30">
        <f t="shared" si="0"/>
        <v>-0.2161344537815495</v>
      </c>
      <c r="N48">
        <f t="shared" si="1"/>
        <v>-1.6600579055154399E-2</v>
      </c>
      <c r="O48">
        <f t="shared" si="2"/>
        <v>5.8992726502366324E-3</v>
      </c>
    </row>
    <row r="49" spans="1:15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27">
        <v>5.55</v>
      </c>
      <c r="I49" s="6">
        <v>86.4</v>
      </c>
      <c r="J49" s="6">
        <v>76.56</v>
      </c>
      <c r="K49" s="29">
        <v>3.23</v>
      </c>
      <c r="L49" s="30">
        <f t="shared" si="3"/>
        <v>0.72680672268907554</v>
      </c>
      <c r="M49" s="30">
        <f t="shared" si="0"/>
        <v>-3.7261344537815546</v>
      </c>
      <c r="N49">
        <f t="shared" si="1"/>
        <v>-2.7081795706518204</v>
      </c>
      <c r="O49">
        <f t="shared" si="2"/>
        <v>0.52824801214603478</v>
      </c>
    </row>
    <row r="50" spans="1:15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27">
        <v>5.16</v>
      </c>
      <c r="I50" s="6">
        <v>85.85</v>
      </c>
      <c r="J50" s="6">
        <v>73.510000000000005</v>
      </c>
      <c r="K50" s="29">
        <v>3.67</v>
      </c>
      <c r="L50" s="30">
        <f t="shared" si="3"/>
        <v>0.33680672268907585</v>
      </c>
      <c r="M50" s="30">
        <f t="shared" si="0"/>
        <v>-4.3261344537815489</v>
      </c>
      <c r="N50">
        <f t="shared" si="1"/>
        <v>-1.4570711672904588</v>
      </c>
      <c r="O50">
        <f t="shared" si="2"/>
        <v>0.11343876844855605</v>
      </c>
    </row>
    <row r="51" spans="1:15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27">
        <v>5.61</v>
      </c>
      <c r="I51" s="6">
        <v>88.45</v>
      </c>
      <c r="J51" s="6">
        <v>74.5</v>
      </c>
      <c r="K51" s="29">
        <v>2.84</v>
      </c>
      <c r="L51" s="30">
        <f t="shared" si="3"/>
        <v>0.78680672268907603</v>
      </c>
      <c r="M51" s="30">
        <f t="shared" si="0"/>
        <v>-3.2161344537815495</v>
      </c>
      <c r="N51">
        <f t="shared" si="1"/>
        <v>-2.5304762093072828</v>
      </c>
      <c r="O51">
        <f t="shared" si="2"/>
        <v>0.61906481886872455</v>
      </c>
    </row>
    <row r="52" spans="1:15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27">
        <v>6.26</v>
      </c>
      <c r="I52" s="6">
        <v>92.46</v>
      </c>
      <c r="J52" s="6">
        <v>76.75</v>
      </c>
      <c r="K52" s="29">
        <v>3.87</v>
      </c>
      <c r="L52" s="30">
        <f t="shared" si="3"/>
        <v>1.4368067226890755</v>
      </c>
      <c r="M52" s="30">
        <f t="shared" si="0"/>
        <v>-1.6461344537815563</v>
      </c>
      <c r="N52">
        <f t="shared" si="1"/>
        <v>-2.3651770496434494</v>
      </c>
      <c r="O52">
        <f t="shared" si="2"/>
        <v>2.0644135583645218</v>
      </c>
    </row>
    <row r="53" spans="1:15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27">
        <v>1.76</v>
      </c>
      <c r="I53" s="6">
        <v>93.92</v>
      </c>
      <c r="J53" s="6">
        <v>75.53</v>
      </c>
      <c r="K53" s="29">
        <v>3.19</v>
      </c>
      <c r="L53" s="30">
        <f t="shared" si="3"/>
        <v>-3.0631932773109245</v>
      </c>
      <c r="M53" s="30">
        <f t="shared" si="0"/>
        <v>1.4638655462184431</v>
      </c>
      <c r="N53">
        <f t="shared" si="1"/>
        <v>-4.4841031000634191</v>
      </c>
      <c r="O53">
        <f t="shared" si="2"/>
        <v>9.3831530541628432</v>
      </c>
    </row>
    <row r="54" spans="1:15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27">
        <v>2.97</v>
      </c>
      <c r="I54" s="6">
        <v>91.63</v>
      </c>
      <c r="J54" s="6">
        <v>71.94</v>
      </c>
      <c r="K54" s="29">
        <v>3.34</v>
      </c>
      <c r="L54" s="30">
        <f t="shared" si="3"/>
        <v>-1.8531932773109241</v>
      </c>
      <c r="M54" s="30">
        <f t="shared" si="0"/>
        <v>-1.4261344537815575</v>
      </c>
      <c r="N54">
        <f t="shared" si="1"/>
        <v>2.6429027822894691</v>
      </c>
      <c r="O54">
        <f t="shared" si="2"/>
        <v>3.4343253230704036</v>
      </c>
    </row>
    <row r="55" spans="1:15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27">
        <v>4.7699999999999996</v>
      </c>
      <c r="I55" s="6">
        <v>91.19</v>
      </c>
      <c r="J55" s="6">
        <v>72.36</v>
      </c>
      <c r="K55" s="29">
        <v>4.75</v>
      </c>
      <c r="L55" s="30">
        <f t="shared" si="3"/>
        <v>-5.3193277310924714E-2</v>
      </c>
      <c r="M55" s="30">
        <f t="shared" si="0"/>
        <v>-1.1761344537815575</v>
      </c>
      <c r="N55">
        <f t="shared" si="1"/>
        <v>6.256244615493535E-2</v>
      </c>
      <c r="O55">
        <f t="shared" si="2"/>
        <v>2.829524751076938E-3</v>
      </c>
    </row>
    <row r="56" spans="1:15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27">
        <v>3.86</v>
      </c>
      <c r="I56" s="6">
        <v>96.63</v>
      </c>
      <c r="J56" s="6">
        <v>79.290000000000006</v>
      </c>
      <c r="K56" s="29">
        <v>3.73</v>
      </c>
      <c r="L56" s="30">
        <f t="shared" si="3"/>
        <v>-0.96319327731092441</v>
      </c>
      <c r="M56" s="30">
        <f t="shared" si="0"/>
        <v>-7.6134453781548928E-2</v>
      </c>
      <c r="N56">
        <f t="shared" si="1"/>
        <v>7.333219405412722E-2</v>
      </c>
      <c r="O56">
        <f t="shared" si="2"/>
        <v>0.92774128945695933</v>
      </c>
    </row>
    <row r="57" spans="1:15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27">
        <v>3.05</v>
      </c>
      <c r="I57" s="6">
        <v>96.13</v>
      </c>
      <c r="J57" s="6">
        <v>78.06</v>
      </c>
      <c r="K57" s="29">
        <v>2.35</v>
      </c>
      <c r="L57" s="30">
        <f t="shared" si="3"/>
        <v>-1.7731932773109245</v>
      </c>
      <c r="M57" s="30">
        <f t="shared" si="0"/>
        <v>-3.8861344537815512</v>
      </c>
      <c r="N57">
        <f t="shared" si="1"/>
        <v>6.8908674881718079</v>
      </c>
      <c r="O57">
        <f t="shared" si="2"/>
        <v>3.1442143987006572</v>
      </c>
    </row>
    <row r="58" spans="1:15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27">
        <v>4.3600000000000003</v>
      </c>
      <c r="I58" s="6">
        <v>94.29</v>
      </c>
      <c r="J58" s="6">
        <v>76.849999999999994</v>
      </c>
      <c r="K58" s="29">
        <v>5.01</v>
      </c>
      <c r="L58" s="30">
        <f t="shared" si="3"/>
        <v>-0.46319327731092397</v>
      </c>
      <c r="M58" s="30">
        <f t="shared" si="0"/>
        <v>-1.4061344537815472</v>
      </c>
      <c r="N58">
        <f t="shared" si="1"/>
        <v>0.65131202598688076</v>
      </c>
      <c r="O58">
        <f t="shared" si="2"/>
        <v>0.2145480121460345</v>
      </c>
    </row>
    <row r="59" spans="1:15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27">
        <v>5.29</v>
      </c>
      <c r="I59" s="6">
        <v>92.59</v>
      </c>
      <c r="J59" s="6">
        <v>77.91</v>
      </c>
      <c r="K59" s="29">
        <v>5.67</v>
      </c>
      <c r="L59" s="30">
        <f t="shared" si="3"/>
        <v>0.46680672268907575</v>
      </c>
      <c r="M59" s="30">
        <f t="shared" si="0"/>
        <v>-5.0161344537815467</v>
      </c>
      <c r="N59">
        <f t="shared" si="1"/>
        <v>-2.3415652849375208</v>
      </c>
      <c r="O59">
        <f t="shared" si="2"/>
        <v>0.21790851634771566</v>
      </c>
    </row>
    <row r="60" spans="1:15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27">
        <v>2.96</v>
      </c>
      <c r="I60" s="6">
        <v>92.87</v>
      </c>
      <c r="J60" s="6">
        <v>76.38</v>
      </c>
      <c r="K60" s="29">
        <v>3.3</v>
      </c>
      <c r="L60" s="30">
        <f t="shared" si="3"/>
        <v>-1.8631932773109243</v>
      </c>
      <c r="M60" s="30">
        <f t="shared" si="0"/>
        <v>-3.7961344537815478</v>
      </c>
      <c r="N60">
        <f t="shared" si="1"/>
        <v>7.0729321940541574</v>
      </c>
      <c r="O60">
        <f t="shared" si="2"/>
        <v>3.4714891886166228</v>
      </c>
    </row>
    <row r="61" spans="1:15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27">
        <v>4.34</v>
      </c>
      <c r="I61" s="6">
        <v>87.3</v>
      </c>
      <c r="J61" s="6">
        <v>72.239999999999995</v>
      </c>
      <c r="K61" s="29">
        <v>6.63</v>
      </c>
      <c r="L61" s="30">
        <f t="shared" si="3"/>
        <v>-0.48319327731092443</v>
      </c>
      <c r="M61" s="30">
        <f t="shared" si="0"/>
        <v>-7.0961344537815449</v>
      </c>
      <c r="N61">
        <f t="shared" si="1"/>
        <v>3.4288044629616712</v>
      </c>
      <c r="O61">
        <f t="shared" si="2"/>
        <v>0.23347574323847192</v>
      </c>
    </row>
    <row r="62" spans="1:15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27">
        <v>3.87</v>
      </c>
      <c r="I62" s="6">
        <v>88.72</v>
      </c>
      <c r="J62" s="6">
        <v>73.489999999999995</v>
      </c>
      <c r="K62" s="29">
        <v>7.53</v>
      </c>
      <c r="L62" s="30">
        <f t="shared" si="3"/>
        <v>-0.95319327731092418</v>
      </c>
      <c r="M62" s="30">
        <f t="shared" si="0"/>
        <v>-4.0461344537815478</v>
      </c>
      <c r="N62">
        <f t="shared" si="1"/>
        <v>3.8567481604406795</v>
      </c>
      <c r="O62">
        <f t="shared" si="2"/>
        <v>0.90857742391074037</v>
      </c>
    </row>
    <row r="63" spans="1:15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27">
        <v>6.16</v>
      </c>
      <c r="I63" s="6">
        <v>87.54</v>
      </c>
      <c r="J63" s="6">
        <v>71.92</v>
      </c>
      <c r="K63" s="29">
        <v>8.35</v>
      </c>
      <c r="L63" s="30">
        <f t="shared" si="3"/>
        <v>1.3368067226890759</v>
      </c>
      <c r="M63" s="30">
        <f t="shared" si="0"/>
        <v>-5.5661344537815438</v>
      </c>
      <c r="N63">
        <f t="shared" si="1"/>
        <v>-7.4408459572064549</v>
      </c>
      <c r="O63">
        <f t="shared" si="2"/>
        <v>1.7870522138267078</v>
      </c>
    </row>
    <row r="64" spans="1:15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27">
        <v>4.09</v>
      </c>
      <c r="I64" s="6">
        <v>96.66</v>
      </c>
      <c r="J64" s="6">
        <v>67.66</v>
      </c>
      <c r="K64" s="29">
        <v>4.4000000000000004</v>
      </c>
      <c r="L64" s="30">
        <f t="shared" si="3"/>
        <v>-0.73319327731092443</v>
      </c>
      <c r="M64" s="30">
        <f t="shared" si="0"/>
        <v>6.4038655462184551</v>
      </c>
      <c r="N64">
        <f t="shared" si="1"/>
        <v>-4.6952711672904224</v>
      </c>
      <c r="O64">
        <f t="shared" si="2"/>
        <v>0.53757238189393408</v>
      </c>
    </row>
    <row r="65" spans="1:15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27">
        <v>2.86</v>
      </c>
      <c r="I65" s="6">
        <v>97.43</v>
      </c>
      <c r="J65" s="6">
        <v>67.42</v>
      </c>
      <c r="K65" s="29">
        <v>4.6100000000000003</v>
      </c>
      <c r="L65" s="30">
        <f t="shared" si="3"/>
        <v>-1.9631932773109244</v>
      </c>
      <c r="M65" s="30">
        <f t="shared" si="0"/>
        <v>8.663865546218446</v>
      </c>
      <c r="N65">
        <f t="shared" si="1"/>
        <v>-17.008842595861793</v>
      </c>
      <c r="O65">
        <f t="shared" si="2"/>
        <v>3.8541278440788083</v>
      </c>
    </row>
    <row r="66" spans="1:15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27">
        <v>3.77</v>
      </c>
      <c r="I66" s="6">
        <v>95.49</v>
      </c>
      <c r="J66" s="6">
        <v>70.72</v>
      </c>
      <c r="K66" s="29">
        <v>3.86</v>
      </c>
      <c r="L66" s="30">
        <f t="shared" si="3"/>
        <v>-1.0531932773109243</v>
      </c>
      <c r="M66" s="30">
        <f t="shared" si="0"/>
        <v>9.9738655462184482</v>
      </c>
      <c r="N66">
        <f t="shared" si="1"/>
        <v>-10.504408142080319</v>
      </c>
      <c r="O66">
        <f t="shared" si="2"/>
        <v>1.1092160793729253</v>
      </c>
    </row>
    <row r="67" spans="1:15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27">
        <v>2.4300000000000002</v>
      </c>
      <c r="I67" s="6">
        <v>96.28</v>
      </c>
      <c r="J67" s="6">
        <v>69.88</v>
      </c>
      <c r="K67" s="29">
        <v>5.82</v>
      </c>
      <c r="L67" s="30">
        <f t="shared" si="3"/>
        <v>-2.3931932773109241</v>
      </c>
      <c r="M67" s="30">
        <f t="shared" ref="M67:M120" si="4">B67-$R$2</f>
        <v>9.4938655462184443</v>
      </c>
      <c r="N67">
        <f t="shared" ref="N67:N120" si="5">L67*M67</f>
        <v>-22.720655200903785</v>
      </c>
      <c r="O67">
        <f t="shared" ref="O67:O120" si="6">L67*L67</f>
        <v>5.7273740625662022</v>
      </c>
    </row>
    <row r="68" spans="1:15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27">
        <v>0.79</v>
      </c>
      <c r="I68" s="6">
        <v>95.49</v>
      </c>
      <c r="J68" s="6">
        <v>76.06</v>
      </c>
      <c r="K68" s="29">
        <v>4.91</v>
      </c>
      <c r="L68" s="30">
        <f t="shared" ref="L68:L120" si="7">H68-$Q$2</f>
        <v>-4.0331932773109243</v>
      </c>
      <c r="M68" s="30">
        <f t="shared" si="4"/>
        <v>1.4638655462184431</v>
      </c>
      <c r="N68">
        <f t="shared" si="5"/>
        <v>-5.904052679895309</v>
      </c>
      <c r="O68">
        <f t="shared" si="6"/>
        <v>16.266648012146035</v>
      </c>
    </row>
    <row r="69" spans="1:15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27">
        <v>5.19</v>
      </c>
      <c r="I69" s="6">
        <v>93.92</v>
      </c>
      <c r="J69" s="6">
        <v>69.61</v>
      </c>
      <c r="K69" s="29">
        <v>5.88</v>
      </c>
      <c r="L69" s="30">
        <f t="shared" si="7"/>
        <v>0.3668067226890761</v>
      </c>
      <c r="M69" s="30">
        <f t="shared" si="4"/>
        <v>1.7538655462184494</v>
      </c>
      <c r="N69">
        <f t="shared" si="5"/>
        <v>0.64332967304567579</v>
      </c>
      <c r="O69">
        <f t="shared" si="6"/>
        <v>0.13454717180990078</v>
      </c>
    </row>
    <row r="70" spans="1:15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27">
        <v>4.33</v>
      </c>
      <c r="I70" s="6">
        <v>95.86</v>
      </c>
      <c r="J70" s="6">
        <v>78.569999999999993</v>
      </c>
      <c r="K70" s="29">
        <v>2.0099999999999998</v>
      </c>
      <c r="L70" s="30">
        <f t="shared" si="7"/>
        <v>-0.49319327731092422</v>
      </c>
      <c r="M70" s="30">
        <f t="shared" si="4"/>
        <v>0.43386554621845619</v>
      </c>
      <c r="N70">
        <f t="shared" si="5"/>
        <v>-0.21397957065177467</v>
      </c>
      <c r="O70">
        <f t="shared" si="6"/>
        <v>0.2432396087846902</v>
      </c>
    </row>
    <row r="71" spans="1:15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27">
        <v>3.75</v>
      </c>
      <c r="I71" s="6">
        <v>96.05</v>
      </c>
      <c r="J71" s="6">
        <v>74.87</v>
      </c>
      <c r="K71" s="29">
        <v>3.62</v>
      </c>
      <c r="L71" s="30">
        <f t="shared" si="7"/>
        <v>-1.0731932773109243</v>
      </c>
      <c r="M71" s="30">
        <f t="shared" si="4"/>
        <v>6.3038655462184465</v>
      </c>
      <c r="N71">
        <f t="shared" si="5"/>
        <v>-6.7652661252735946</v>
      </c>
      <c r="O71">
        <f t="shared" si="6"/>
        <v>1.1517438104653623</v>
      </c>
    </row>
    <row r="72" spans="1:15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27">
        <v>3.76</v>
      </c>
      <c r="I72" s="6">
        <v>87.13</v>
      </c>
      <c r="J72" s="6">
        <v>76.87</v>
      </c>
      <c r="K72" s="29">
        <v>2.16</v>
      </c>
      <c r="L72" s="30">
        <f t="shared" si="7"/>
        <v>-1.0631932773109245</v>
      </c>
      <c r="M72" s="30">
        <f t="shared" si="4"/>
        <v>-3.6061344537815501</v>
      </c>
      <c r="N72">
        <f t="shared" si="5"/>
        <v>3.8340179083398467</v>
      </c>
      <c r="O72">
        <f t="shared" si="6"/>
        <v>1.1303799449191445</v>
      </c>
    </row>
    <row r="73" spans="1:15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27">
        <v>2.88</v>
      </c>
      <c r="I73" s="6">
        <v>97.11</v>
      </c>
      <c r="J73" s="6">
        <v>73.27</v>
      </c>
      <c r="K73" s="29">
        <v>4.13</v>
      </c>
      <c r="L73" s="30">
        <f t="shared" si="7"/>
        <v>-1.9431932773109244</v>
      </c>
      <c r="M73" s="30">
        <f t="shared" si="4"/>
        <v>9.9638655462184431</v>
      </c>
      <c r="N73">
        <f t="shared" si="5"/>
        <v>-19.36171654544162</v>
      </c>
      <c r="O73">
        <f t="shared" si="6"/>
        <v>3.7760001129863712</v>
      </c>
    </row>
    <row r="74" spans="1:15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27">
        <v>3.51</v>
      </c>
      <c r="I74" s="6">
        <v>99.25</v>
      </c>
      <c r="J74" s="6">
        <v>70.56</v>
      </c>
      <c r="K74" s="29">
        <v>5.8</v>
      </c>
      <c r="L74" s="30">
        <f t="shared" si="7"/>
        <v>-1.3131932773109245</v>
      </c>
      <c r="M74" s="30">
        <f t="shared" si="4"/>
        <v>13.353865546218444</v>
      </c>
      <c r="N74">
        <f t="shared" si="5"/>
        <v>-17.536206461408035</v>
      </c>
      <c r="O74">
        <f t="shared" si="6"/>
        <v>1.7244765835746068</v>
      </c>
    </row>
    <row r="75" spans="1:15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27">
        <v>7.14</v>
      </c>
      <c r="I75" s="6">
        <v>87.11</v>
      </c>
      <c r="J75" s="6">
        <v>86.62</v>
      </c>
      <c r="K75" s="29">
        <v>1.56</v>
      </c>
      <c r="L75" s="30">
        <f t="shared" si="7"/>
        <v>2.3168067226890754</v>
      </c>
      <c r="M75" s="30">
        <f t="shared" si="4"/>
        <v>-4.2561344537815557</v>
      </c>
      <c r="N75">
        <f t="shared" si="5"/>
        <v>-9.8606409151897036</v>
      </c>
      <c r="O75">
        <f t="shared" si="6"/>
        <v>5.3675933902972943</v>
      </c>
    </row>
    <row r="76" spans="1:15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27">
        <v>7.49</v>
      </c>
      <c r="I76" s="6">
        <v>95.16</v>
      </c>
      <c r="J76" s="6">
        <v>78.75</v>
      </c>
      <c r="K76" s="29">
        <v>4.1900000000000004</v>
      </c>
      <c r="L76" s="30">
        <f t="shared" si="7"/>
        <v>2.6668067226890759</v>
      </c>
      <c r="M76" s="30">
        <f t="shared" si="4"/>
        <v>-2.0461344537815478</v>
      </c>
      <c r="N76">
        <f t="shared" si="5"/>
        <v>-5.456645116870372</v>
      </c>
      <c r="O76">
        <f t="shared" si="6"/>
        <v>7.1118580961796498</v>
      </c>
    </row>
    <row r="77" spans="1:15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27">
        <v>6.68</v>
      </c>
      <c r="I77" s="6">
        <v>93.2</v>
      </c>
      <c r="J77" s="6">
        <v>80.08</v>
      </c>
      <c r="K77" s="29">
        <v>3.9</v>
      </c>
      <c r="L77" s="30">
        <f t="shared" si="7"/>
        <v>1.8568067226890754</v>
      </c>
      <c r="M77" s="30">
        <f t="shared" si="4"/>
        <v>-3.2761344537815518</v>
      </c>
      <c r="N77">
        <f t="shared" si="5"/>
        <v>-6.0831484782148877</v>
      </c>
      <c r="O77">
        <f t="shared" si="6"/>
        <v>3.4477312054233451</v>
      </c>
    </row>
    <row r="78" spans="1:15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27">
        <v>7.11</v>
      </c>
      <c r="I78" s="6">
        <v>95.99</v>
      </c>
      <c r="J78" s="6">
        <v>75.569999999999993</v>
      </c>
      <c r="K78" s="29">
        <v>4.12</v>
      </c>
      <c r="L78" s="30">
        <f t="shared" si="7"/>
        <v>2.286806722689076</v>
      </c>
      <c r="M78" s="30">
        <f t="shared" si="4"/>
        <v>-0.61613445378155518</v>
      </c>
      <c r="N78">
        <f t="shared" si="5"/>
        <v>-1.4089804109880222</v>
      </c>
      <c r="O78">
        <f t="shared" si="6"/>
        <v>5.2294849869359528</v>
      </c>
    </row>
    <row r="79" spans="1:15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27">
        <v>6.62</v>
      </c>
      <c r="I79" s="6">
        <v>94.1</v>
      </c>
      <c r="J79" s="6">
        <v>72.36</v>
      </c>
      <c r="K79" s="29">
        <v>4.7699999999999996</v>
      </c>
      <c r="L79" s="30">
        <f t="shared" si="7"/>
        <v>1.7968067226890758</v>
      </c>
      <c r="M79" s="30">
        <f t="shared" si="4"/>
        <v>-2.3061344537815529</v>
      </c>
      <c r="N79">
        <f t="shared" si="5"/>
        <v>-4.1436778899795943</v>
      </c>
      <c r="O79">
        <f t="shared" si="6"/>
        <v>3.2285143987006575</v>
      </c>
    </row>
    <row r="80" spans="1:15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27">
        <v>7.85</v>
      </c>
      <c r="I80" s="6">
        <v>94.01</v>
      </c>
      <c r="J80" s="6">
        <v>71.31</v>
      </c>
      <c r="K80" s="29">
        <v>5.0999999999999996</v>
      </c>
      <c r="L80" s="30">
        <f t="shared" si="7"/>
        <v>3.0268067226890754</v>
      </c>
      <c r="M80" s="30">
        <f t="shared" si="4"/>
        <v>-0.56613445378154381</v>
      </c>
      <c r="N80">
        <f t="shared" si="5"/>
        <v>-1.7135795706518844</v>
      </c>
      <c r="O80">
        <f t="shared" si="6"/>
        <v>9.1615589365157817</v>
      </c>
    </row>
    <row r="81" spans="1:15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27">
        <v>4.68</v>
      </c>
      <c r="I81" s="6">
        <v>89.53</v>
      </c>
      <c r="J81" s="6">
        <v>72.900000000000006</v>
      </c>
      <c r="K81" s="29">
        <v>5.13</v>
      </c>
      <c r="L81" s="30">
        <f t="shared" si="7"/>
        <v>-0.14319327731092457</v>
      </c>
      <c r="M81" s="30">
        <f t="shared" si="4"/>
        <v>-2.2161344537815495</v>
      </c>
      <c r="N81">
        <f t="shared" si="5"/>
        <v>0.31733555539863578</v>
      </c>
      <c r="O81">
        <f t="shared" si="6"/>
        <v>2.0504314667043347E-2</v>
      </c>
    </row>
    <row r="82" spans="1:15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27">
        <v>7.66</v>
      </c>
      <c r="I82" s="6">
        <v>90.16</v>
      </c>
      <c r="J82" s="6">
        <v>70.86</v>
      </c>
      <c r="K82" s="29">
        <v>3.28</v>
      </c>
      <c r="L82" s="30">
        <f t="shared" si="7"/>
        <v>2.8368067226890759</v>
      </c>
      <c r="M82" s="30">
        <f t="shared" si="4"/>
        <v>-5.4361344537815484</v>
      </c>
      <c r="N82">
        <f t="shared" si="5"/>
        <v>-15.421262763929203</v>
      </c>
      <c r="O82">
        <f t="shared" si="6"/>
        <v>8.047472381893936</v>
      </c>
    </row>
    <row r="83" spans="1:15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27">
        <v>5.59</v>
      </c>
      <c r="I83" s="6">
        <v>86.35</v>
      </c>
      <c r="J83" s="6">
        <v>73.760000000000005</v>
      </c>
      <c r="K83" s="29">
        <v>3.23</v>
      </c>
      <c r="L83" s="30">
        <f t="shared" si="7"/>
        <v>0.76680672268907557</v>
      </c>
      <c r="M83" s="30">
        <f t="shared" si="4"/>
        <v>-4.8161344537815438</v>
      </c>
      <c r="N83">
        <f t="shared" si="5"/>
        <v>-3.6930442765341667</v>
      </c>
      <c r="O83">
        <f t="shared" si="6"/>
        <v>0.58799254996116079</v>
      </c>
    </row>
    <row r="84" spans="1:15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27">
        <v>7.05</v>
      </c>
      <c r="I84" s="6">
        <v>88.09</v>
      </c>
      <c r="J84" s="6">
        <v>75.36</v>
      </c>
      <c r="K84" s="29">
        <v>4.03</v>
      </c>
      <c r="L84" s="30">
        <f t="shared" si="7"/>
        <v>2.2268067226890755</v>
      </c>
      <c r="M84" s="30">
        <f t="shared" si="4"/>
        <v>-1.4461344537815535</v>
      </c>
      <c r="N84">
        <f t="shared" si="5"/>
        <v>-3.2202619235930574</v>
      </c>
      <c r="O84">
        <f t="shared" si="6"/>
        <v>4.9586681802132615</v>
      </c>
    </row>
    <row r="85" spans="1:15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27">
        <v>4.4800000000000004</v>
      </c>
      <c r="I85" s="6">
        <v>91.49</v>
      </c>
      <c r="J85" s="6">
        <v>75.099999999999994</v>
      </c>
      <c r="K85" s="29">
        <v>3.63</v>
      </c>
      <c r="L85" s="30">
        <f t="shared" si="7"/>
        <v>-0.34319327731092386</v>
      </c>
      <c r="M85" s="30">
        <f t="shared" si="4"/>
        <v>-4.5261344537815518</v>
      </c>
      <c r="N85">
        <f t="shared" si="5"/>
        <v>1.553338916743179</v>
      </c>
      <c r="O85">
        <f t="shared" si="6"/>
        <v>0.11778162559141268</v>
      </c>
    </row>
    <row r="86" spans="1:15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27">
        <v>6.7</v>
      </c>
      <c r="I86" s="6">
        <v>87.99</v>
      </c>
      <c r="J86" s="6">
        <v>76.66</v>
      </c>
      <c r="K86" s="29">
        <v>3.15</v>
      </c>
      <c r="L86" s="30">
        <f t="shared" si="7"/>
        <v>1.8768067226890759</v>
      </c>
      <c r="M86" s="30">
        <f t="shared" si="4"/>
        <v>-4.5261344537815518</v>
      </c>
      <c r="N86">
        <f t="shared" si="5"/>
        <v>-8.494679570651865</v>
      </c>
      <c r="O86">
        <f t="shared" si="6"/>
        <v>3.5224034743309098</v>
      </c>
    </row>
    <row r="87" spans="1:15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27">
        <v>7.16</v>
      </c>
      <c r="I87" s="6">
        <v>87.11</v>
      </c>
      <c r="J87" s="6">
        <v>73.180000000000007</v>
      </c>
      <c r="K87" s="29">
        <v>3</v>
      </c>
      <c r="L87" s="30">
        <f t="shared" si="7"/>
        <v>2.3368067226890759</v>
      </c>
      <c r="M87" s="30">
        <f t="shared" si="4"/>
        <v>-4.8961344537815563</v>
      </c>
      <c r="N87">
        <f t="shared" si="5"/>
        <v>-11.441319906786347</v>
      </c>
      <c r="O87">
        <f t="shared" si="6"/>
        <v>5.4606656592048592</v>
      </c>
    </row>
    <row r="88" spans="1:15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27">
        <v>5.47</v>
      </c>
      <c r="I88" s="6">
        <v>91.94</v>
      </c>
      <c r="J88" s="6">
        <v>75.31</v>
      </c>
      <c r="K88" s="29">
        <v>5.0199999999999996</v>
      </c>
      <c r="L88" s="30">
        <f t="shared" si="7"/>
        <v>0.64680672268907546</v>
      </c>
      <c r="M88" s="30">
        <f t="shared" si="4"/>
        <v>-3.3861344537815512</v>
      </c>
      <c r="N88">
        <f t="shared" si="5"/>
        <v>-2.1901745286350076</v>
      </c>
      <c r="O88">
        <f t="shared" si="6"/>
        <v>0.41835893651578254</v>
      </c>
    </row>
    <row r="89" spans="1:15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27">
        <v>5.18</v>
      </c>
      <c r="I89" s="6">
        <v>95.45</v>
      </c>
      <c r="J89" s="6">
        <v>68.37</v>
      </c>
      <c r="K89" s="29">
        <v>6.49</v>
      </c>
      <c r="L89" s="30">
        <f t="shared" si="7"/>
        <v>0.35680672268907543</v>
      </c>
      <c r="M89" s="30">
        <f t="shared" si="4"/>
        <v>6.9238655462184511</v>
      </c>
      <c r="N89">
        <f t="shared" si="5"/>
        <v>2.4704817738860108</v>
      </c>
      <c r="O89">
        <f t="shared" si="6"/>
        <v>0.12731103735611876</v>
      </c>
    </row>
    <row r="90" spans="1:15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27">
        <v>5.89</v>
      </c>
      <c r="I90" s="6">
        <v>92.41</v>
      </c>
      <c r="J90" s="6">
        <v>73.94</v>
      </c>
      <c r="K90" s="29">
        <v>3.87</v>
      </c>
      <c r="L90" s="30">
        <f t="shared" si="7"/>
        <v>1.0668067226890754</v>
      </c>
      <c r="M90" s="30">
        <f t="shared" si="4"/>
        <v>0.94386554621844709</v>
      </c>
      <c r="N90">
        <f t="shared" si="5"/>
        <v>1.0069221100204355</v>
      </c>
      <c r="O90">
        <f t="shared" si="6"/>
        <v>1.1380765835746058</v>
      </c>
    </row>
    <row r="91" spans="1:15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27">
        <v>6.65</v>
      </c>
      <c r="I91" s="6">
        <v>91.32</v>
      </c>
      <c r="J91" s="6">
        <v>71.88</v>
      </c>
      <c r="K91" s="29">
        <v>3.75</v>
      </c>
      <c r="L91" s="30">
        <f t="shared" si="7"/>
        <v>1.8268067226890761</v>
      </c>
      <c r="M91" s="30">
        <f t="shared" si="4"/>
        <v>-7.6134453781548928E-2</v>
      </c>
      <c r="N91">
        <f t="shared" si="5"/>
        <v>-0.13908293199639432</v>
      </c>
      <c r="O91">
        <f t="shared" si="6"/>
        <v>3.3372228020620027</v>
      </c>
    </row>
    <row r="92" spans="1:15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27">
        <v>6.67</v>
      </c>
      <c r="I92" s="6">
        <v>94.92</v>
      </c>
      <c r="J92" s="6">
        <v>69.790000000000006</v>
      </c>
      <c r="K92" s="29">
        <v>3.87</v>
      </c>
      <c r="L92" s="30">
        <f t="shared" si="7"/>
        <v>1.8468067226890756</v>
      </c>
      <c r="M92" s="30">
        <f t="shared" si="4"/>
        <v>-0.50613445378155575</v>
      </c>
      <c r="N92">
        <f t="shared" si="5"/>
        <v>-0.93473251182834038</v>
      </c>
      <c r="O92">
        <f t="shared" si="6"/>
        <v>3.4106950709695645</v>
      </c>
    </row>
    <row r="93" spans="1:15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27">
        <v>5.01</v>
      </c>
      <c r="I93" s="6">
        <v>93.33</v>
      </c>
      <c r="J93" s="6">
        <v>72.34</v>
      </c>
      <c r="K93" s="29">
        <v>4.34</v>
      </c>
      <c r="L93" s="30">
        <f t="shared" si="7"/>
        <v>0.1868067226890755</v>
      </c>
      <c r="M93" s="30">
        <f t="shared" si="4"/>
        <v>-0.93613445378154836</v>
      </c>
      <c r="N93">
        <f t="shared" si="5"/>
        <v>-0.17487620930725886</v>
      </c>
      <c r="O93">
        <f t="shared" si="6"/>
        <v>3.4896751641833153E-2</v>
      </c>
    </row>
    <row r="94" spans="1:15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27">
        <v>4.5</v>
      </c>
      <c r="I94" s="6">
        <v>95.05</v>
      </c>
      <c r="J94" s="6">
        <v>77.040000000000006</v>
      </c>
      <c r="K94" s="29">
        <v>3.28</v>
      </c>
      <c r="L94" s="30">
        <f t="shared" si="7"/>
        <v>-0.32319327731092429</v>
      </c>
      <c r="M94" s="30">
        <f t="shared" si="4"/>
        <v>1.0238655462184454</v>
      </c>
      <c r="N94">
        <f t="shared" si="5"/>
        <v>-0.330906461408079</v>
      </c>
      <c r="O94">
        <f t="shared" si="6"/>
        <v>0.104453894498976</v>
      </c>
    </row>
    <row r="95" spans="1:15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27">
        <v>6.09</v>
      </c>
      <c r="I95" s="6">
        <v>93.79</v>
      </c>
      <c r="J95" s="6">
        <v>75.73</v>
      </c>
      <c r="K95" s="29">
        <v>2.4</v>
      </c>
      <c r="L95" s="30">
        <f t="shared" si="7"/>
        <v>1.2668067226890756</v>
      </c>
      <c r="M95" s="30">
        <f t="shared" si="4"/>
        <v>-1.836134453781554</v>
      </c>
      <c r="N95">
        <f t="shared" si="5"/>
        <v>-2.3260274698115064</v>
      </c>
      <c r="O95">
        <f t="shared" si="6"/>
        <v>1.6047992726502365</v>
      </c>
    </row>
    <row r="96" spans="1:15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27">
        <v>8.7200000000000006</v>
      </c>
      <c r="I96" s="6">
        <v>92.22</v>
      </c>
      <c r="J96" s="6">
        <v>73.86</v>
      </c>
      <c r="K96" s="29">
        <v>4.42</v>
      </c>
      <c r="L96" s="30">
        <f t="shared" si="7"/>
        <v>3.8968067226890764</v>
      </c>
      <c r="M96" s="30">
        <f t="shared" si="4"/>
        <v>-2.9961344537815506</v>
      </c>
      <c r="N96">
        <f t="shared" si="5"/>
        <v>-11.67535688157631</v>
      </c>
      <c r="O96">
        <f t="shared" si="6"/>
        <v>15.185102633994781</v>
      </c>
    </row>
    <row r="97" spans="1:15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27">
        <v>1.83</v>
      </c>
      <c r="I97" s="6">
        <v>89.59</v>
      </c>
      <c r="J97" s="6">
        <v>74.55</v>
      </c>
      <c r="K97" s="29">
        <v>4.28</v>
      </c>
      <c r="L97" s="30">
        <f t="shared" si="7"/>
        <v>-2.9931932773109242</v>
      </c>
      <c r="M97" s="30">
        <f t="shared" si="4"/>
        <v>-3.4361344537815484</v>
      </c>
      <c r="N97">
        <f t="shared" si="5"/>
        <v>10.285014546995376</v>
      </c>
      <c r="O97">
        <f t="shared" si="6"/>
        <v>8.9592059953393104</v>
      </c>
    </row>
    <row r="98" spans="1:15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27">
        <v>7.66</v>
      </c>
      <c r="I98" s="6">
        <v>90.7</v>
      </c>
      <c r="J98" s="6">
        <v>74.8</v>
      </c>
      <c r="K98" s="29">
        <v>4.34</v>
      </c>
      <c r="L98" s="30">
        <f t="shared" si="7"/>
        <v>2.8368067226890759</v>
      </c>
      <c r="M98" s="30">
        <f t="shared" si="4"/>
        <v>0.15386554621845505</v>
      </c>
      <c r="N98">
        <f t="shared" si="5"/>
        <v>0.43648681590274002</v>
      </c>
      <c r="O98">
        <f t="shared" si="6"/>
        <v>8.047472381893936</v>
      </c>
    </row>
    <row r="99" spans="1:15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27">
        <v>6.32</v>
      </c>
      <c r="I99" s="6">
        <v>91.63</v>
      </c>
      <c r="J99" s="6">
        <v>71.61</v>
      </c>
      <c r="K99" s="29">
        <v>6.45</v>
      </c>
      <c r="L99" s="30">
        <f t="shared" si="7"/>
        <v>1.496806722689076</v>
      </c>
      <c r="M99" s="30">
        <f t="shared" si="4"/>
        <v>3.1838655462184562</v>
      </c>
      <c r="N99">
        <f t="shared" si="5"/>
        <v>4.7656313537179118</v>
      </c>
      <c r="O99">
        <f t="shared" si="6"/>
        <v>2.2404303650872124</v>
      </c>
    </row>
    <row r="100" spans="1:15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27">
        <v>9.15</v>
      </c>
      <c r="I100" s="6">
        <v>88.09</v>
      </c>
      <c r="J100" s="6">
        <v>70.48</v>
      </c>
      <c r="K100" s="29">
        <v>5.35</v>
      </c>
      <c r="L100" s="30">
        <f t="shared" si="7"/>
        <v>4.3268067226890761</v>
      </c>
      <c r="M100" s="30">
        <f t="shared" si="4"/>
        <v>-8.4161344537815523</v>
      </c>
      <c r="N100">
        <f t="shared" si="5"/>
        <v>-36.414987133677172</v>
      </c>
      <c r="O100">
        <f t="shared" si="6"/>
        <v>18.721256415507384</v>
      </c>
    </row>
    <row r="101" spans="1:15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27">
        <v>7.54</v>
      </c>
      <c r="I101" s="6">
        <v>87.52</v>
      </c>
      <c r="J101" s="6">
        <v>73.62</v>
      </c>
      <c r="K101" s="29">
        <v>2.5</v>
      </c>
      <c r="L101" s="30">
        <f t="shared" si="7"/>
        <v>2.7168067226890757</v>
      </c>
      <c r="M101" s="30">
        <f t="shared" si="4"/>
        <v>-9.0261344537815518</v>
      </c>
      <c r="N101">
        <f t="shared" si="5"/>
        <v>-24.522262763929209</v>
      </c>
      <c r="O101">
        <f t="shared" si="6"/>
        <v>7.3810387684485566</v>
      </c>
    </row>
    <row r="102" spans="1:15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27">
        <v>6.32</v>
      </c>
      <c r="I102" s="6">
        <v>87.6</v>
      </c>
      <c r="J102" s="6">
        <v>79.13</v>
      </c>
      <c r="K102" s="29">
        <v>1.64</v>
      </c>
      <c r="L102" s="30">
        <f t="shared" si="7"/>
        <v>1.496806722689076</v>
      </c>
      <c r="M102" s="30">
        <f t="shared" si="4"/>
        <v>-4.8961344537815563</v>
      </c>
      <c r="N102">
        <f t="shared" si="5"/>
        <v>-7.3285669656098404</v>
      </c>
      <c r="O102">
        <f t="shared" si="6"/>
        <v>2.2404303650872124</v>
      </c>
    </row>
    <row r="103" spans="1:15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27">
        <v>8.26</v>
      </c>
      <c r="I103" s="6">
        <v>83.03</v>
      </c>
      <c r="J103" s="6">
        <v>78.16</v>
      </c>
      <c r="K103" s="29">
        <v>1.69</v>
      </c>
      <c r="L103" s="30">
        <f t="shared" si="7"/>
        <v>3.4368067226890755</v>
      </c>
      <c r="M103" s="30">
        <f t="shared" si="4"/>
        <v>-5.9661344537815495</v>
      </c>
      <c r="N103">
        <f t="shared" si="5"/>
        <v>-20.504450999223344</v>
      </c>
      <c r="O103">
        <f t="shared" si="6"/>
        <v>11.811640449120825</v>
      </c>
    </row>
    <row r="104" spans="1:15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27">
        <v>2.94</v>
      </c>
      <c r="I104" s="6">
        <v>95.99</v>
      </c>
      <c r="J104" s="6">
        <v>70.739999999999995</v>
      </c>
      <c r="K104" s="29">
        <v>3.91</v>
      </c>
      <c r="L104" s="30">
        <f t="shared" si="7"/>
        <v>-1.8831932773109243</v>
      </c>
      <c r="M104" s="30">
        <f t="shared" si="4"/>
        <v>6.1338655462184448</v>
      </c>
      <c r="N104">
        <f t="shared" si="5"/>
        <v>-11.551254360567675</v>
      </c>
      <c r="O104">
        <f t="shared" si="6"/>
        <v>3.5464169197090598</v>
      </c>
    </row>
    <row r="105" spans="1:15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27">
        <v>5.1100000000000003</v>
      </c>
      <c r="I105" s="6">
        <v>98.03</v>
      </c>
      <c r="J105" s="6">
        <v>70.44</v>
      </c>
      <c r="K105" s="29">
        <v>5.1100000000000003</v>
      </c>
      <c r="L105" s="30">
        <f t="shared" si="7"/>
        <v>0.28680672268907603</v>
      </c>
      <c r="M105" s="30">
        <f t="shared" si="4"/>
        <v>5.6938655462184471</v>
      </c>
      <c r="N105">
        <f t="shared" si="5"/>
        <v>1.6330389167431585</v>
      </c>
      <c r="O105">
        <f t="shared" si="6"/>
        <v>8.2258096179648563E-2</v>
      </c>
    </row>
    <row r="106" spans="1:15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27">
        <v>5.13</v>
      </c>
      <c r="I106" s="6">
        <v>97.02</v>
      </c>
      <c r="J106" s="6">
        <v>67.52</v>
      </c>
      <c r="K106" s="29">
        <v>6.1</v>
      </c>
      <c r="L106" s="30">
        <f t="shared" si="7"/>
        <v>0.30680672268907561</v>
      </c>
      <c r="M106" s="30">
        <f t="shared" si="4"/>
        <v>8.9338655462184562</v>
      </c>
      <c r="N106">
        <f t="shared" si="5"/>
        <v>2.740970009180133</v>
      </c>
      <c r="O106">
        <f t="shared" si="6"/>
        <v>9.4130365087211343E-2</v>
      </c>
    </row>
    <row r="107" spans="1:15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27">
        <v>3.92</v>
      </c>
      <c r="I107" s="6">
        <v>97.26</v>
      </c>
      <c r="J107" s="6">
        <v>67.55</v>
      </c>
      <c r="K107" s="29">
        <v>4.4400000000000004</v>
      </c>
      <c r="L107" s="30">
        <f t="shared" si="7"/>
        <v>-0.90319327731092436</v>
      </c>
      <c r="M107" s="30">
        <f t="shared" si="4"/>
        <v>2.0438655462184556</v>
      </c>
      <c r="N107">
        <f t="shared" si="5"/>
        <v>-1.8460056210719296</v>
      </c>
      <c r="O107">
        <f t="shared" si="6"/>
        <v>0.81575809617964834</v>
      </c>
    </row>
    <row r="108" spans="1:15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27">
        <v>3.52</v>
      </c>
      <c r="I108" s="6">
        <v>97.82</v>
      </c>
      <c r="J108" s="6">
        <v>72.72</v>
      </c>
      <c r="K108" s="29">
        <v>4.63</v>
      </c>
      <c r="L108" s="30">
        <f t="shared" si="7"/>
        <v>-1.3031932773109243</v>
      </c>
      <c r="M108" s="30">
        <f t="shared" si="4"/>
        <v>3.1538655462184551</v>
      </c>
      <c r="N108">
        <f t="shared" si="5"/>
        <v>-4.110096377374437</v>
      </c>
      <c r="O108">
        <f t="shared" si="6"/>
        <v>1.6983127180283875</v>
      </c>
    </row>
    <row r="109" spans="1:15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27">
        <v>3.44</v>
      </c>
      <c r="I109" s="6">
        <v>95.2</v>
      </c>
      <c r="J109" s="6">
        <v>72.680000000000007</v>
      </c>
      <c r="K109" s="29">
        <v>3.76</v>
      </c>
      <c r="L109" s="30">
        <f t="shared" si="7"/>
        <v>-1.3831932773109243</v>
      </c>
      <c r="M109" s="30">
        <f t="shared" si="4"/>
        <v>6.0138655462184545</v>
      </c>
      <c r="N109">
        <f t="shared" si="5"/>
        <v>-8.3183383941811559</v>
      </c>
      <c r="O109">
        <f t="shared" si="6"/>
        <v>1.9132236423981357</v>
      </c>
    </row>
    <row r="110" spans="1:15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27">
        <v>6.36</v>
      </c>
      <c r="I110" s="6">
        <v>95.92</v>
      </c>
      <c r="J110" s="6">
        <v>70.599999999999994</v>
      </c>
      <c r="K110" s="29">
        <v>4.3</v>
      </c>
      <c r="L110" s="30">
        <f t="shared" si="7"/>
        <v>1.536806722689076</v>
      </c>
      <c r="M110" s="30">
        <f t="shared" si="4"/>
        <v>8.7638655462184545</v>
      </c>
      <c r="N110">
        <f t="shared" si="5"/>
        <v>13.468367488171692</v>
      </c>
      <c r="O110">
        <f t="shared" si="6"/>
        <v>2.3617749029023387</v>
      </c>
    </row>
    <row r="111" spans="1:15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27">
        <v>5.48</v>
      </c>
      <c r="I111" s="6">
        <v>95.75</v>
      </c>
      <c r="J111" s="6">
        <v>70.489999999999995</v>
      </c>
      <c r="K111" s="29">
        <v>4.91</v>
      </c>
      <c r="L111" s="30">
        <f t="shared" si="7"/>
        <v>0.65680672268907614</v>
      </c>
      <c r="M111" s="30">
        <f t="shared" si="4"/>
        <v>8.9438655462184471</v>
      </c>
      <c r="N111">
        <f t="shared" si="5"/>
        <v>5.8743910175834824</v>
      </c>
      <c r="O111">
        <f t="shared" si="6"/>
        <v>0.43139507096956498</v>
      </c>
    </row>
    <row r="112" spans="1:15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27">
        <v>8.6</v>
      </c>
      <c r="I112" s="6">
        <v>91.5</v>
      </c>
      <c r="J112" s="6">
        <v>73.53</v>
      </c>
      <c r="K112" s="29">
        <v>3.63</v>
      </c>
      <c r="L112" s="30">
        <f t="shared" si="7"/>
        <v>3.7768067226890754</v>
      </c>
      <c r="M112" s="30">
        <f t="shared" si="4"/>
        <v>3.9438655462184471</v>
      </c>
      <c r="N112">
        <f t="shared" si="5"/>
        <v>14.895217908339653</v>
      </c>
      <c r="O112">
        <f t="shared" si="6"/>
        <v>14.264269020549394</v>
      </c>
    </row>
    <row r="113" spans="1:15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27">
        <v>6.67</v>
      </c>
      <c r="I113" s="6">
        <v>87.93</v>
      </c>
      <c r="J113" s="6">
        <v>66.92</v>
      </c>
      <c r="K113" s="29">
        <v>8.09</v>
      </c>
      <c r="L113" s="30">
        <f t="shared" si="7"/>
        <v>1.8468067226890756</v>
      </c>
      <c r="M113" s="30">
        <f t="shared" si="4"/>
        <v>-4.8661344537815552</v>
      </c>
      <c r="N113">
        <f t="shared" si="5"/>
        <v>-8.9868098227527096</v>
      </c>
      <c r="O113">
        <f t="shared" si="6"/>
        <v>3.4106950709695645</v>
      </c>
    </row>
    <row r="114" spans="1:15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27">
        <v>5.81</v>
      </c>
      <c r="I114" s="6">
        <v>81.69</v>
      </c>
      <c r="J114" s="6">
        <v>72.819999999999993</v>
      </c>
      <c r="K114" s="29">
        <v>6.23</v>
      </c>
      <c r="L114" s="30">
        <f t="shared" si="7"/>
        <v>0.98680672268907532</v>
      </c>
      <c r="M114" s="30">
        <f t="shared" si="4"/>
        <v>-7.4161344537815523</v>
      </c>
      <c r="N114">
        <f t="shared" si="5"/>
        <v>-7.318291335357709</v>
      </c>
      <c r="O114">
        <f t="shared" si="6"/>
        <v>0.97378750794435365</v>
      </c>
    </row>
    <row r="115" spans="1:15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27">
        <v>4.6100000000000003</v>
      </c>
      <c r="I115" s="6">
        <v>92.63</v>
      </c>
      <c r="J115" s="6">
        <v>65.88</v>
      </c>
      <c r="K115" s="29">
        <v>6.06</v>
      </c>
      <c r="L115" s="30">
        <f t="shared" si="7"/>
        <v>-0.21319327731092397</v>
      </c>
      <c r="M115" s="30">
        <f t="shared" si="4"/>
        <v>0.44386554621844709</v>
      </c>
      <c r="N115">
        <f t="shared" si="5"/>
        <v>-9.4629150483714133E-2</v>
      </c>
      <c r="O115">
        <f t="shared" si="6"/>
        <v>4.545137349057253E-2</v>
      </c>
    </row>
    <row r="116" spans="1:15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27">
        <v>5.65</v>
      </c>
      <c r="I116" s="6">
        <v>93.52</v>
      </c>
      <c r="J116" s="6">
        <v>67.77</v>
      </c>
      <c r="K116" s="29">
        <v>9.18</v>
      </c>
      <c r="L116" s="30">
        <f t="shared" si="7"/>
        <v>0.82680672268907607</v>
      </c>
      <c r="M116" s="30">
        <f t="shared" si="4"/>
        <v>-2.4661344537815495</v>
      </c>
      <c r="N116">
        <f t="shared" si="5"/>
        <v>-2.0390165454417377</v>
      </c>
      <c r="O116">
        <f t="shared" si="6"/>
        <v>0.6836093566838507</v>
      </c>
    </row>
    <row r="117" spans="1:15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27">
        <v>4.03</v>
      </c>
      <c r="I117" s="6">
        <v>95.91</v>
      </c>
      <c r="J117" s="6">
        <v>66.02</v>
      </c>
      <c r="K117" s="29">
        <v>5.92</v>
      </c>
      <c r="L117" s="30">
        <f t="shared" si="7"/>
        <v>-0.79319327731092404</v>
      </c>
      <c r="M117" s="30">
        <f t="shared" si="4"/>
        <v>5.7838655462184505</v>
      </c>
      <c r="N117">
        <f t="shared" si="5"/>
        <v>-4.5877232681307509</v>
      </c>
      <c r="O117">
        <f t="shared" si="6"/>
        <v>0.62915557517124443</v>
      </c>
    </row>
    <row r="118" spans="1:15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27">
        <v>5.05</v>
      </c>
      <c r="I118" s="6">
        <v>89.17</v>
      </c>
      <c r="J118" s="6">
        <v>60.83</v>
      </c>
      <c r="K118" s="29">
        <v>6.08</v>
      </c>
      <c r="L118" s="30">
        <f t="shared" si="7"/>
        <v>0.22680672268907554</v>
      </c>
      <c r="M118" s="30">
        <f t="shared" si="4"/>
        <v>3.0838655462184477</v>
      </c>
      <c r="N118">
        <f t="shared" si="5"/>
        <v>0.69944143775156187</v>
      </c>
      <c r="O118">
        <f t="shared" si="6"/>
        <v>5.1441289456959208E-2</v>
      </c>
    </row>
    <row r="119" spans="1:15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27">
        <v>6.45</v>
      </c>
      <c r="I119" s="6">
        <v>93.59</v>
      </c>
      <c r="J119" s="6">
        <v>69.099999999999994</v>
      </c>
      <c r="K119" s="29">
        <v>7.12</v>
      </c>
      <c r="L119" s="30">
        <f t="shared" si="7"/>
        <v>1.6268067226890759</v>
      </c>
      <c r="M119" s="30">
        <f t="shared" si="4"/>
        <v>1.1538655462184551</v>
      </c>
      <c r="N119">
        <f t="shared" si="5"/>
        <v>1.8771162276674853</v>
      </c>
      <c r="O119">
        <f t="shared" si="6"/>
        <v>2.6465001129863719</v>
      </c>
    </row>
    <row r="120" spans="1:15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27">
        <v>7.96</v>
      </c>
      <c r="I120" s="6">
        <v>95.29</v>
      </c>
      <c r="J120" s="6">
        <v>58.13</v>
      </c>
      <c r="K120" s="29">
        <v>5.09</v>
      </c>
      <c r="L120" s="30">
        <f t="shared" si="7"/>
        <v>3.1368067226890757</v>
      </c>
      <c r="M120" s="30">
        <f t="shared" si="4"/>
        <v>8.413865546218446</v>
      </c>
      <c r="N120">
        <f t="shared" si="5"/>
        <v>26.392670009180012</v>
      </c>
      <c r="O120">
        <f t="shared" si="6"/>
        <v>9.8395564155073796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" x14ac:dyDescent="0.3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Fadhi</cp:lastModifiedBy>
  <dcterms:modified xsi:type="dcterms:W3CDTF">2026-02-09T06:37:38Z</dcterms:modified>
</cp:coreProperties>
</file>